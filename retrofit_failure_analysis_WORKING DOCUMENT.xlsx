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showInkAnnotation="0" autoCompressPictures="0"/>
  <mc:AlternateContent xmlns:mc="http://schemas.openxmlformats.org/markup-compatibility/2006">
    <mc:Choice Requires="x15">
      <x15ac:absPath xmlns:x15ac="http://schemas.microsoft.com/office/spreadsheetml/2010/11/ac" url="https://cisco.sharepoint.com/sites/MPETeamSharePoint/Shared Documents/Project Retrofit/"/>
    </mc:Choice>
  </mc:AlternateContent>
  <xr:revisionPtr revIDLastSave="0" documentId="8_{E43A587E-54ED-422B-BBF5-9CFF0F80A3BB}" xr6:coauthVersionLast="47" xr6:coauthVersionMax="47" xr10:uidLastSave="{00000000-0000-0000-0000-000000000000}"/>
  <bookViews>
    <workbookView xWindow="-120" yWindow="-120" windowWidth="29040" windowHeight="15720" xr2:uid="{00000000-000D-0000-FFFF-FFFF00000000}"/>
  </bookViews>
  <sheets>
    <sheet name="Workmanship Results" sheetId="1" r:id="rId1"/>
    <sheet name="data scrub analysis" sheetId="9" r:id="rId2"/>
    <sheet name="Review Queue"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7" i="1" l="1"/>
  <c r="L336" i="1"/>
  <c r="L344" i="1"/>
  <c r="L224" i="1"/>
  <c r="L162" i="1"/>
  <c r="L177" i="1"/>
  <c r="L309" i="1"/>
  <c r="L295" i="1"/>
  <c r="L315" i="1"/>
  <c r="L326" i="1"/>
  <c r="L258" i="1"/>
  <c r="L306" i="1"/>
  <c r="L334" i="1"/>
  <c r="L338" i="1"/>
  <c r="L353" i="1"/>
  <c r="L340" i="1"/>
  <c r="L320" i="1"/>
  <c r="L281" i="1"/>
  <c r="L280" i="1"/>
  <c r="L324" i="1"/>
  <c r="L333" i="1"/>
  <c r="L145" i="1"/>
  <c r="L174" i="1"/>
  <c r="L263" i="1"/>
  <c r="L317" i="1"/>
  <c r="L92" i="1"/>
  <c r="L163" i="1"/>
  <c r="L289" i="1"/>
  <c r="L183" i="1"/>
  <c r="L129" i="1"/>
  <c r="L198" i="1"/>
  <c r="L285" i="1"/>
  <c r="L354" i="1"/>
  <c r="L288" i="1"/>
  <c r="L305" i="1"/>
  <c r="L290" i="1"/>
  <c r="L301" i="1"/>
  <c r="L302" i="1"/>
  <c r="L243" i="1"/>
  <c r="L352" i="1"/>
  <c r="L351" i="1"/>
  <c r="L350" i="1"/>
  <c r="L189" i="1"/>
  <c r="L325" i="1"/>
  <c r="L332" i="1"/>
  <c r="L191" i="1"/>
  <c r="L335" i="1"/>
  <c r="L300" i="1"/>
  <c r="L313" i="1"/>
  <c r="L356" i="1"/>
  <c r="L112" i="1"/>
  <c r="L310" i="1"/>
  <c r="L339" i="1"/>
  <c r="L87" i="1"/>
  <c r="L62" i="1"/>
  <c r="L250" i="1"/>
  <c r="L225" i="1"/>
  <c r="L242" i="1"/>
  <c r="L60" i="1"/>
  <c r="L214" i="1"/>
  <c r="L231" i="1"/>
  <c r="L204" i="1"/>
  <c r="L200" i="1"/>
  <c r="L44" i="1"/>
  <c r="L23" i="1"/>
  <c r="L2" i="1"/>
  <c r="L41" i="1"/>
  <c r="L127" i="1"/>
  <c r="L323" i="1"/>
  <c r="L74" i="1"/>
  <c r="L363" i="1"/>
  <c r="L292" i="1"/>
  <c r="L304" i="1"/>
  <c r="L270" i="1"/>
  <c r="L65" i="1"/>
  <c r="L247" i="1"/>
  <c r="L308" i="1"/>
  <c r="L298" i="1"/>
  <c r="L322" i="1"/>
  <c r="L321" i="1"/>
  <c r="L249" i="1"/>
  <c r="L32" i="1"/>
  <c r="L142" i="1"/>
  <c r="L237" i="1"/>
  <c r="L257" i="1"/>
  <c r="L228" i="1"/>
  <c r="L218" i="1"/>
  <c r="L229" i="1"/>
  <c r="L147" i="1"/>
  <c r="L279" i="1"/>
  <c r="L347" i="1"/>
  <c r="L254" i="1"/>
  <c r="L213" i="1"/>
  <c r="L277" i="1"/>
  <c r="L116" i="1"/>
  <c r="L118" i="1"/>
  <c r="L256" i="1"/>
  <c r="L274" i="1"/>
  <c r="L159" i="1"/>
  <c r="L297" i="1"/>
  <c r="L223" i="1"/>
  <c r="L206" i="1"/>
  <c r="L318" i="1"/>
  <c r="L342" i="1"/>
  <c r="L234" i="1"/>
  <c r="L269" i="1"/>
  <c r="L261" i="1"/>
  <c r="L328" i="1"/>
  <c r="L20" i="1"/>
  <c r="L262" i="1"/>
  <c r="L361" i="1"/>
  <c r="L5" i="1"/>
  <c r="L4" i="1"/>
  <c r="L141" i="1"/>
  <c r="L140" i="1"/>
  <c r="L276" i="1"/>
  <c r="L357" i="1"/>
  <c r="L341" i="1"/>
  <c r="L346" i="1"/>
  <c r="L49" i="1"/>
  <c r="L119" i="1"/>
  <c r="L171" i="1"/>
  <c r="L28" i="1"/>
  <c r="L81" i="1"/>
  <c r="L18" i="1"/>
  <c r="L36" i="1"/>
  <c r="L80" i="1"/>
  <c r="L343" i="1"/>
  <c r="L358" i="1"/>
  <c r="L73" i="1"/>
  <c r="L72" i="1"/>
  <c r="L255" i="1"/>
  <c r="L337" i="1"/>
  <c r="L278" i="1"/>
  <c r="L61" i="1"/>
  <c r="L241" i="1"/>
  <c r="L355" i="1"/>
  <c r="L303" i="1"/>
  <c r="L232" i="1"/>
  <c r="L345" i="1"/>
  <c r="L187" i="1"/>
  <c r="L64" i="1"/>
  <c r="L272" i="1"/>
  <c r="L311" i="1"/>
  <c r="L260" i="1"/>
  <c r="L329" i="1"/>
  <c r="L180" i="1"/>
  <c r="L203" i="1"/>
  <c r="L185" i="1"/>
  <c r="L99" i="1"/>
  <c r="L182" i="1"/>
  <c r="L27" i="1"/>
  <c r="L124" i="1"/>
  <c r="L219" i="1"/>
  <c r="L70" i="1"/>
  <c r="L166" i="1"/>
  <c r="L51" i="1"/>
  <c r="L84" i="1"/>
  <c r="L155" i="1"/>
  <c r="L184" i="1"/>
  <c r="L11" i="1"/>
  <c r="L9" i="1"/>
  <c r="L128" i="1"/>
  <c r="L199" i="1"/>
  <c r="L33" i="1"/>
  <c r="L150" i="1"/>
  <c r="L179" i="1"/>
  <c r="L168" i="1"/>
  <c r="L75" i="1"/>
  <c r="L259" i="1"/>
  <c r="L267" i="1"/>
  <c r="L314" i="1"/>
  <c r="L85" i="1"/>
  <c r="L135" i="1"/>
  <c r="L190" i="1"/>
  <c r="L265" i="1"/>
  <c r="L26" i="1"/>
  <c r="L25" i="1"/>
  <c r="L52" i="1"/>
  <c r="L113" i="1"/>
  <c r="L154" i="1"/>
  <c r="L45" i="1"/>
  <c r="L316" i="1"/>
  <c r="L104" i="1"/>
  <c r="L10" i="1"/>
  <c r="L8" i="1"/>
  <c r="L125" i="1"/>
  <c r="L53" i="1"/>
  <c r="L63" i="1"/>
  <c r="L47" i="1"/>
  <c r="L24" i="1"/>
  <c r="L42" i="1"/>
  <c r="L7" i="1"/>
  <c r="L6" i="1"/>
  <c r="L38" i="1"/>
  <c r="L37" i="1"/>
  <c r="L192" i="1"/>
  <c r="L15" i="1"/>
  <c r="L143" i="1"/>
  <c r="L151" i="1"/>
  <c r="L55" i="1"/>
  <c r="L181" i="1"/>
  <c r="L96" i="1"/>
  <c r="L95" i="1"/>
  <c r="L94" i="1"/>
  <c r="L252" i="1"/>
  <c r="L312" i="1"/>
  <c r="L188" i="1"/>
  <c r="L330" i="1"/>
  <c r="L106" i="1"/>
  <c r="L105" i="1"/>
  <c r="L178" i="1"/>
  <c r="L222" i="1"/>
  <c r="L253" i="1"/>
  <c r="L86" i="1"/>
  <c r="L126" i="1"/>
  <c r="L66" i="1"/>
  <c r="L156" i="1"/>
  <c r="L172" i="1"/>
  <c r="L12" i="1"/>
  <c r="L13" i="1"/>
  <c r="L3" i="1"/>
  <c r="L22" i="1"/>
  <c r="L43" i="1"/>
  <c r="L17" i="1"/>
  <c r="L31" i="1"/>
  <c r="L120" i="1"/>
  <c r="L157" i="1"/>
  <c r="L170" i="1"/>
  <c r="L97" i="1"/>
  <c r="L227" i="1"/>
  <c r="L202" i="1"/>
  <c r="L193" i="1"/>
  <c r="L348" i="1"/>
  <c r="L217" i="1"/>
  <c r="L160" i="1"/>
  <c r="L88" i="1"/>
  <c r="L283" i="1"/>
  <c r="L169" i="1"/>
  <c r="L93" i="1"/>
  <c r="L136" i="1"/>
  <c r="L46" i="1"/>
  <c r="L207" i="1"/>
  <c r="L110" i="1"/>
  <c r="L349" i="1"/>
  <c r="L197" i="1"/>
  <c r="L173" i="1"/>
  <c r="L319" i="1"/>
  <c r="L196" i="1"/>
  <c r="L226" i="1"/>
  <c r="L246" i="1"/>
  <c r="L294" i="1"/>
  <c r="L293" i="1"/>
  <c r="L21" i="1"/>
  <c r="L40" i="1"/>
  <c r="L115" i="1"/>
  <c r="L108" i="1"/>
  <c r="L146" i="1"/>
  <c r="L56" i="1"/>
  <c r="L58" i="1"/>
  <c r="L57" i="1"/>
  <c r="L266" i="1"/>
  <c r="L19" i="1"/>
  <c r="L209" i="1"/>
  <c r="L144" i="1"/>
  <c r="L121" i="1"/>
  <c r="L212" i="1"/>
  <c r="L211" i="1"/>
  <c r="L161" i="1"/>
  <c r="L208" i="1"/>
  <c r="L89" i="1"/>
  <c r="L90" i="1"/>
  <c r="L220" i="1"/>
  <c r="L238" i="1"/>
  <c r="L91" i="1"/>
  <c r="L230" i="1"/>
  <c r="L195" i="1"/>
  <c r="L111" i="1"/>
  <c r="L77" i="1"/>
  <c r="L271" i="1"/>
  <c r="L275" i="1"/>
  <c r="L235" i="1"/>
  <c r="L221" i="1"/>
  <c r="L239" i="1"/>
  <c r="L186" i="1"/>
  <c r="L286" i="1"/>
  <c r="L153" i="1"/>
  <c r="L291" i="1"/>
  <c r="L16" i="1"/>
  <c r="L287" i="1"/>
  <c r="L296" i="1"/>
  <c r="L103" i="1"/>
  <c r="L71" i="1"/>
  <c r="L282" i="1"/>
  <c r="L78" i="1"/>
  <c r="L79" i="1"/>
  <c r="L268" i="1"/>
  <c r="L98" i="1"/>
  <c r="L138" i="1"/>
  <c r="L167" i="1"/>
  <c r="L59" i="1"/>
  <c r="L109" i="1"/>
  <c r="L148" i="1"/>
  <c r="L149" i="1"/>
  <c r="L107" i="1"/>
  <c r="L54" i="1"/>
  <c r="L210" i="1"/>
  <c r="L83" i="1"/>
  <c r="L215" i="1"/>
  <c r="L29" i="1"/>
  <c r="L30" i="1"/>
  <c r="L158" i="1"/>
  <c r="L122" i="1"/>
  <c r="L123" i="1"/>
  <c r="L131" i="1"/>
  <c r="L132" i="1"/>
  <c r="L67" i="1"/>
  <c r="L273" i="1"/>
  <c r="L240" i="1"/>
  <c r="L137" i="1"/>
  <c r="L101" i="1"/>
  <c r="L102" i="1"/>
  <c r="L327" i="1"/>
  <c r="L299" i="1"/>
  <c r="L50" i="1"/>
  <c r="L244" i="1"/>
  <c r="L245" i="1"/>
  <c r="L331" i="1"/>
  <c r="L39" i="1"/>
  <c r="L194" i="1"/>
  <c r="L362" i="1"/>
  <c r="L14" i="1"/>
  <c r="L152" i="1"/>
  <c r="L48" i="1"/>
  <c r="L76" i="1"/>
  <c r="L114" i="1"/>
  <c r="L216" i="1"/>
  <c r="L248" i="1"/>
  <c r="L264" i="1"/>
  <c r="L176" i="1"/>
  <c r="L175" i="1"/>
  <c r="L205" i="1"/>
  <c r="L165" i="1"/>
  <c r="L164" i="1"/>
  <c r="L69" i="1"/>
  <c r="L68" i="1"/>
  <c r="L100" i="1"/>
  <c r="L134" i="1"/>
  <c r="L133" i="1"/>
  <c r="L35" i="1"/>
  <c r="L34" i="1"/>
  <c r="L139" i="1"/>
  <c r="L82" i="1"/>
  <c r="L359" i="1"/>
  <c r="L130" i="1"/>
  <c r="L233" i="1"/>
  <c r="L23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tc={1EF1C266-D293-4F2A-8C40-9AD6387A63A0}</author>
  </authors>
  <commentList>
    <comment ref="B1" authorId="0" shapeId="0" xr:uid="{1EF1C266-D293-4F2A-8C40-9AD6387A63A0}">
      <text>
        <t>[Threaded comment]
Your version of Excel allows you to read this threaded comment; however, any edits to it will get removed if the file is opened in a newer version of Excel. Learn more: https://go.microsoft.com/fwlink/?linkid=870924
Comment:
    Y = in-scope
Y-pending = someone is working on collecting the data</t>
      </text>
    </comment>
  </commentList>
</comments>
</file>

<file path=xl/sharedStrings.xml><?xml version="1.0" encoding="utf-8"?>
<sst xmlns="http://schemas.openxmlformats.org/spreadsheetml/2006/main" count="5809" uniqueCount="1945">
  <si>
    <t>Failure Mode</t>
  </si>
  <si>
    <t>Failure Code</t>
  </si>
  <si>
    <t>Business Unit</t>
  </si>
  <si>
    <t>PID / Product family</t>
  </si>
  <si>
    <t>CPN</t>
  </si>
  <si>
    <t>Serial Number</t>
  </si>
  <si>
    <t>Brief Description</t>
  </si>
  <si>
    <t>Determined Corrective Action</t>
  </si>
  <si>
    <t>Manufacturer Site</t>
  </si>
  <si>
    <t>Number of Failed Units</t>
  </si>
  <si>
    <t>Total Units Built</t>
  </si>
  <si>
    <t>Failure Rate %</t>
  </si>
  <si>
    <t>Source Date / Week</t>
  </si>
  <si>
    <t>Source Report Type</t>
  </si>
  <si>
    <t>Source Location</t>
  </si>
  <si>
    <t>Source Case Number</t>
  </si>
  <si>
    <t>Record ID</t>
  </si>
  <si>
    <t>Evidence</t>
  </si>
  <si>
    <t>Confidence</t>
  </si>
  <si>
    <t>Derivation / Conflict Notes</t>
  </si>
  <si>
    <t>Status</t>
  </si>
  <si>
    <t>Workmanship</t>
  </si>
  <si>
    <t>Open/Short Circuit (Non-Solder)</t>
  </si>
  <si>
    <t>IOTBU</t>
  </si>
  <si>
    <t>IE-3100-8T2C-E</t>
  </si>
  <si>
    <t>68-103061-05</t>
  </si>
  <si>
    <t>FDO2823J0PG</t>
  </si>
  <si>
    <t>HW Fail - Boot Up</t>
  </si>
  <si>
    <t>FDO — Flex</t>
  </si>
  <si>
    <t>FA Case Report</t>
  </si>
  <si>
    <t>FA CASE REPORT _IOT FA Case Details.xlsx</t>
  </si>
  <si>
    <t>FA-0759954</t>
  </si>
  <si>
    <t>Damage</t>
  </si>
  <si>
    <t>SRGBU</t>
  </si>
  <si>
    <t>C8300-1N1S-6T=</t>
  </si>
  <si>
    <t>FDO3002M0KQ</t>
  </si>
  <si>
    <t>The cable tie intended to secure the power-switch cable detached and jammed fan P2, preventing rotation and triggering the fan alarm.</t>
  </si>
  <si>
    <t>Replace the fan tray, properly secure the cable tie, and open a manufacturing FARC</t>
  </si>
  <si>
    <t>FGU — Flex</t>
  </si>
  <si>
    <t>FA CASE REPORT _ SRGBU FA Case Details 2.xlsx | input</t>
  </si>
  <si>
    <t>FA-0918164</t>
  </si>
  <si>
    <t>Test Configuration</t>
  </si>
  <si>
    <t>C8200-UCPE-1N8</t>
  </si>
  <si>
    <t>FJC28481C5H</t>
  </si>
  <si>
    <t xml:space="preserve">Units tested idoes not boot correctly the NFVIS, not related to operation or cables. </t>
  </si>
  <si>
    <t>Fail will be monitored since no evident issue of why the unit fail, all pass retest woth no issues.</t>
  </si>
  <si>
    <t>FJZ — Foxconn</t>
  </si>
  <si>
    <t>PPR Report</t>
  </si>
  <si>
    <t>PRR Report - SRGBU WK2 Q1FY27 FJZ</t>
  </si>
  <si>
    <t>FJC28481CBD</t>
  </si>
  <si>
    <t xml:space="preserve">Connection of AC cable in a wrong cell.
</t>
  </si>
  <si>
    <t>Retraining the personnel about the cable connections.</t>
  </si>
  <si>
    <t>C8200-1N-4T</t>
  </si>
  <si>
    <t>FJC28361V1S</t>
  </si>
  <si>
    <t>Unit run in a wrong line.</t>
  </si>
  <si>
    <t>In monitor, printer was reviewed and no issues were found.</t>
  </si>
  <si>
    <t>Missing Component / Part</t>
  </si>
  <si>
    <t>FJC2835218B</t>
  </si>
  <si>
    <t>Fan not connected.</t>
  </si>
  <si>
    <t>Retraining to operator un fan assembly.</t>
  </si>
  <si>
    <t>FJC290321E1</t>
  </si>
  <si>
    <t>Units tested in a wrong line.</t>
  </si>
  <si>
    <t>TE is defining the PIDs that can be tested by line, with this will be not possible to test a PID in a wrong line.</t>
  </si>
  <si>
    <t>Incorrect Assembly</t>
  </si>
  <si>
    <t>C8200L-1N-4T</t>
  </si>
  <si>
    <t>FJC28391QXZ</t>
  </si>
  <si>
    <t>Retraining to operator in fan assembly.</t>
  </si>
  <si>
    <t>FJC291112KU</t>
  </si>
  <si>
    <t>Stations not scanned in order, in APC need to follow the sequence.</t>
  </si>
  <si>
    <t>Retraining the personnel in the new order of the stations, since in AP2 was not required.</t>
  </si>
  <si>
    <t>FJC28461G23</t>
  </si>
  <si>
    <t>Products of line 1 run in line 2.</t>
  </si>
  <si>
    <t>Production was informed about the issue and changed to line 1.</t>
  </si>
  <si>
    <t>Contamination</t>
  </si>
  <si>
    <t>FVT2937L37F</t>
  </si>
  <si>
    <t>A foreign object behind the logo-label area obstructed the LED light path and caused abnormal PSU LED brightness.</t>
  </si>
  <si>
    <t>Send the abnormal label for root-cause analysis and an 8D improvement response</t>
  </si>
  <si>
    <t>FVT — Foxconn</t>
  </si>
  <si>
    <t>FA-0863661</t>
  </si>
  <si>
    <t>SYSFT confirmed</t>
  </si>
  <si>
    <t>C8200-1N-4T=</t>
  </si>
  <si>
    <t>FVT2935L35M</t>
  </si>
  <si>
    <t>The PSU connector had lifted from the motherboard PCBA, preventing the router from powering on.</t>
  </si>
  <si>
    <t>Reseat and secure the PSU connector; subsequent power-on, IOS boot, and ambient diagnostics passed.</t>
  </si>
  <si>
    <t>FA-0924434</t>
  </si>
  <si>
    <t>Packout Error</t>
  </si>
  <si>
    <t>74-122703-01</t>
  </si>
  <si>
    <t>FVT2939L2NA</t>
  </si>
  <si>
    <t>Carton and chassis serial number mismatch: Workmanship issue causing serial number mismatch between carton and chassis labels.</t>
  </si>
  <si>
    <t>Case closed as fault isolated; root cause investigation and corrective action pursued with factory.</t>
  </si>
  <si>
    <t>FA CASE REPORT _ SRGBU FA Case Details 2.xlsx</t>
  </si>
  <si>
    <t>FA-0874888</t>
  </si>
  <si>
    <t>Re-Seat</t>
  </si>
  <si>
    <t>FJC28291B1N</t>
  </si>
  <si>
    <t>Memory assembly issue.</t>
  </si>
  <si>
    <t>Retraining the personnel of third shift regarding the DIMM placement if the memories in the ASSY process.</t>
  </si>
  <si>
    <t>Assembly</t>
  </si>
  <si>
    <t xml:space="preserve">Rio  IE-3100-8T2C-E </t>
  </si>
  <si>
    <t>27-2197-01</t>
  </si>
  <si>
    <t>FDO2910J0TB</t>
  </si>
  <si>
    <t xml:space="preserve">Alarm Wire Entry Block (27-2197-01) missing on one Rio IE-3100-8T2C-E. FPY is the total units built on the line in March 20, 2025. Low Risk. </t>
  </si>
  <si>
    <t>Alarm Wire Entry Block installed in one station and then inspected by the other station by different operators, and there is shop-flow route setting to check by FlexFlow system. This block (6-Pin) and the Power Wire Entry Block (2-Pin) have been used for IOTBU IE2K, IE4K and IE3K products since year 2012, it’s first time that FDO received the report of the part missing.</t>
  </si>
  <si>
    <t>PPR REPORT _ FDO IOTBU.xlsx</t>
  </si>
  <si>
    <t>FJC28251760</t>
  </si>
  <si>
    <t>The power-module connector CN2 was not properly inserted, causing a dead-on-arrival no-power condition.</t>
  </si>
  <si>
    <t>Reinsert and secure CN2, verify normal boot, and send the case for manufacturing root-cause corrective action.</t>
  </si>
  <si>
    <t>FA-0722233</t>
  </si>
  <si>
    <t>C1111-4P</t>
  </si>
  <si>
    <t>FGL2815L92C</t>
  </si>
  <si>
    <t>The chassis cover was dented during the manufacturing process.</t>
  </si>
  <si>
    <t>Replace or repair the damaged cover and send the case for root-cause corrective action.</t>
  </si>
  <si>
    <t>FOC — Foxconn</t>
  </si>
  <si>
    <t>FA-0692798</t>
  </si>
  <si>
    <t>OPERATOR_PROCESS</t>
  </si>
  <si>
    <t>FVT2903L1JV</t>
  </si>
  <si>
    <t>Cable of CISCO LED bad contact</t>
  </si>
  <si>
    <t>operators must double-check the LED cable placement during assembly and continue monitoring.</t>
  </si>
  <si>
    <t>FY2025 M06 W4</t>
  </si>
  <si>
    <t>PPR REPORT _ FVT SRGBU.xlsx | FVT_PPR_TRACKER</t>
  </si>
  <si>
    <t>Total # in report</t>
  </si>
  <si>
    <t>C8300-1N1S-4T2X</t>
  </si>
  <si>
    <t>FDO3002M17D</t>
  </si>
  <si>
    <t>A missing heatsink screw location corresponded to a loose screw on the service-module heatsink, indicating a manufacturing assembly defect even though functional diagnostics passed.</t>
  </si>
  <si>
    <t>open a FARC with manufacturing.</t>
  </si>
  <si>
    <t>FA-0901939</t>
  </si>
  <si>
    <t>AVENTUS IR1835-K9</t>
  </si>
  <si>
    <t>68-102700-05</t>
  </si>
  <si>
    <t>FVH2934L1NU</t>
  </si>
  <si>
    <t>installed wrong</t>
  </si>
  <si>
    <t>Swap FM</t>
  </si>
  <si>
    <t>FTX — Foxconn</t>
  </si>
  <si>
    <t>PPR REPORT _ FTX IOTBU.xlsx</t>
  </si>
  <si>
    <t>FJC28401QVD</t>
  </si>
  <si>
    <t>The USB port was mechanically deformed, causing the reported USB malfunction.</t>
  </si>
  <si>
    <t>Repair or replace the USB connector and create a FARC for manufacturing corrective action.</t>
  </si>
  <si>
    <t>FA-0749881</t>
  </si>
  <si>
    <t>IE-3300-8T2S-E</t>
  </si>
  <si>
    <t>68-101630-07</t>
  </si>
  <si>
    <t>FVH2933LBS7</t>
  </si>
  <si>
    <t>HW Fail - Boot Up. Mechanical</t>
  </si>
  <si>
    <t>FVN — Foxconn</t>
  </si>
  <si>
    <t>FA-0873434</t>
  </si>
  <si>
    <t>FJC28371580</t>
  </si>
  <si>
    <t>FJC29251BD0</t>
  </si>
  <si>
    <t>Incorrect scan of units.
Define the wrong scanning realized by operator to verify the step that realize wrong (To implement corrective actions driving to the incorrect scan)</t>
  </si>
  <si>
    <t>Retraining to operator the scanning.</t>
  </si>
  <si>
    <t>FJC29251UZX</t>
  </si>
  <si>
    <t xml:space="preserve">Employee turnover, affecting 2nd shift </t>
  </si>
  <si>
    <t xml:space="preserve">Check list of daily first piece release, to ensure the correct process follow up realized by quality team and production supervisor </t>
  </si>
  <si>
    <t>FJC2920185B</t>
  </si>
  <si>
    <t>Units skip an assy station.</t>
  </si>
  <si>
    <t>PM to review the training with the production manager.</t>
  </si>
  <si>
    <t>C1121-8P</t>
  </si>
  <si>
    <t>FVT2928L31Y</t>
  </si>
  <si>
    <t>The GigabitEthernet0/1/0 port was damaged during the manufacturing process, causing a persistent link-down condition.</t>
  </si>
  <si>
    <t>Close as workmanship damage and route the unit to the repair/root-cause team for manufacturing corrective action.</t>
  </si>
  <si>
    <t>FA-0858831</t>
  </si>
  <si>
    <t>Operator</t>
  </si>
  <si>
    <t>IR8140H-K9</t>
  </si>
  <si>
    <t>68-102712-03</t>
  </si>
  <si>
    <t>FDO2813J091</t>
  </si>
  <si>
    <t>Operator erroneously runs a unit without previously validating it manually, reported that units accumulated and they got confused.</t>
  </si>
  <si>
    <t>PRR IOTBU FGU DF Cabo</t>
  </si>
  <si>
    <t>Missed/Wrong Scanning</t>
  </si>
  <si>
    <t>FDO2812J2HK</t>
  </si>
  <si>
    <t>Married data error in Assembly.</t>
  </si>
  <si>
    <t>FJC28191LQF, FJC28191DGL</t>
  </si>
  <si>
    <t>Resistor R4715 was damaged—one unit had the resistor dropped onto the board—causing the out-of-box SFP-port failures.</t>
  </si>
  <si>
    <t>Replace the damaged resistor as needed and create a FARC with manufacturing to address the assembly damage.</t>
  </si>
  <si>
    <t>FA-0754856</t>
  </si>
  <si>
    <t>Process</t>
  </si>
  <si>
    <t>C8500L-8S4X</t>
  </si>
  <si>
    <t>(Fugazi)</t>
  </si>
  <si>
    <t>FLX2952031Q</t>
  </si>
  <si>
    <t>The failure was caused by an improper SFP connection (not properly seated).</t>
  </si>
  <si>
    <t>Train operators to carefully and thoroughly inspect the units after receiving them from the Kitting team. PE need to add before and after photos after plugging on WI no.WI-PE287004-007 Rev.06.</t>
  </si>
  <si>
    <t>NCB — Fabrinet</t>
  </si>
  <si>
    <t>PPR REPORT _ NCB SRGBU WNBU.xlsx</t>
  </si>
  <si>
    <t>FJC2829173X</t>
  </si>
  <si>
    <t>Wrong input from operator. Number of LED was not correct</t>
  </si>
  <si>
    <t>Retraining to operators in the LED test.</t>
  </si>
  <si>
    <t>Petra</t>
  </si>
  <si>
    <t>73-101947</t>
  </si>
  <si>
    <t>Missing Component / Part: DAMAGED COMPONENT@CR4*1pc</t>
  </si>
  <si>
    <t>Retrain operators to follow PCBA handling procedures to avoid component damage  Issue a Blue-Q at both the PTH and VI stations to remind operators to carefully inspect LED components (including CR4).</t>
  </si>
  <si>
    <t>WK6 Q4FY25</t>
  </si>
  <si>
    <t>PPR REPORT _ FVN IOTBU.xlsx | ICT Action Tracking | row 9</t>
  </si>
  <si>
    <t>RFA-000026</t>
  </si>
  <si>
    <t>Root cause: 1. CR4 is located on the bottom side (BOT). 2. According to the SN station records, the unit failed ICT testing due to the CR4 component being missing. Therefore, the defect occurred prior to the ICT process. 3. AOI r...</t>
  </si>
  <si>
    <t>High</t>
  </si>
  <si>
    <t>Quarter-end sort date: 2025-07-26; Manufacturer site from report context.; Issue quantity parsed from defect-specific narrative.</t>
  </si>
  <si>
    <t>Process Error</t>
  </si>
  <si>
    <t>Contamination Fixture contaminated caused test to fail. Passed once fixture was cleaned</t>
  </si>
  <si>
    <t>Check all fixtures for contamination to prevent recurrence.</t>
  </si>
  <si>
    <t>PPR REPORT _ FVN IOTBU.xlsx | ICT Action Tracking | row 10</t>
  </si>
  <si>
    <t>RFA-000027</t>
  </si>
  <si>
    <t>Root cause: There is contamination on the fixture.</t>
  </si>
  <si>
    <t>FGL2830LE1Y</t>
  </si>
  <si>
    <t>USB connector J3700 pin 9 was bent, creating an open USB 3.0 signal path and preventing USB recognition.</t>
  </si>
  <si>
    <t>Repair or replace the connector and send the case to the root-cause team for manufacturing corrective action.</t>
  </si>
  <si>
    <t>FA-0723144</t>
  </si>
  <si>
    <t>FJC28351KS7</t>
  </si>
  <si>
    <t>Wrong Component / Part</t>
  </si>
  <si>
    <t>FJC283511TL</t>
  </si>
  <si>
    <t>Memory assembly issue, operators place more or less memory that required by the line ID, this due the operators does not wait for he system to change the traveler.</t>
  </si>
  <si>
    <t>Retraining to operator to review the traveler they are seeing corresponds with the unit.</t>
  </si>
  <si>
    <t>FDO2837J9PL</t>
  </si>
  <si>
    <t>Operating personnel did not remove unit and started test with error on screen.</t>
  </si>
  <si>
    <t>Personnel given feedback.</t>
  </si>
  <si>
    <t>FCW2915Y0D9</t>
  </si>
  <si>
    <t>moved unit to different server with abort. Incorrect Operator response</t>
  </si>
  <si>
    <t>Move to different Server</t>
  </si>
  <si>
    <t>Wrong SW</t>
  </si>
  <si>
    <t>IE-3100-18T2C-E</t>
  </si>
  <si>
    <t>68-103580-05</t>
  </si>
  <si>
    <t>FDO2849J7S0</t>
  </si>
  <si>
    <t>HW Fail - Boot Up. Wrong SW installed or Configuration made at Factory</t>
  </si>
  <si>
    <t>FA-0778942</t>
  </si>
  <si>
    <t>FJC283710N3</t>
  </si>
  <si>
    <t>Production was informed about the issue and changed to line 1.
Place a Visual aid to show the models that can run in every line.</t>
  </si>
  <si>
    <t>C8300-1N1S-4T2X=</t>
  </si>
  <si>
    <t>FLM284010AE</t>
  </si>
  <si>
    <t>The LED-card flat cable was inserted but its connector lock was left loose during manufacturing, producing the reported fan/LED symptom.</t>
  </si>
  <si>
    <t>Reconnect and lock the cable; ambient diagnostics, 100 power cycles, and three days of traffic testing then passed, and the unit was routed to DGI.</t>
  </si>
  <si>
    <t>FA-0802000</t>
  </si>
  <si>
    <t>IE-3400H-24T-E</t>
  </si>
  <si>
    <t>68-102178-02</t>
  </si>
  <si>
    <t>FCW2815Y17B</t>
  </si>
  <si>
    <t>Mechanical</t>
  </si>
  <si>
    <t>FA-0779324</t>
  </si>
  <si>
    <t>FJC30121G1R</t>
  </si>
  <si>
    <t>Wrong scanning in assembly</t>
  </si>
  <si>
    <t>The production supervisor was notified about the incorrect scanning and was asked to provide the operator with information on the correct scanning procedure for the units.</t>
  </si>
  <si>
    <t>Closed</t>
  </si>
  <si>
    <t>68-102700-06</t>
  </si>
  <si>
    <t>FVH2946L7U8</t>
  </si>
  <si>
    <t>CONNECTOR_FAILURE reseat micro USB ( incorrected action)</t>
  </si>
  <si>
    <t>RE-CONNECTED LOOSE CABLE</t>
  </si>
  <si>
    <t>FJC283818E3</t>
  </si>
  <si>
    <t>Memory assembly issue, operators place more memory that required by the line ID, this due the operators does not wait for he system to change the traveler.</t>
  </si>
  <si>
    <t>C1111X-8P</t>
  </si>
  <si>
    <t>700-109389-02</t>
  </si>
  <si>
    <t>FGL2917L5W4</t>
  </si>
  <si>
    <t>Rattling noise and mechanical defect. Workmanship issue causing an internal component to be broken or detached.</t>
  </si>
  <si>
    <t>The case was closed as fault isolated; Cisco Failure Analysis policy pursues root cause and corrective action with the factory.</t>
  </si>
  <si>
    <t>FA-0815959</t>
  </si>
  <si>
    <t>C1121X-8P++</t>
  </si>
  <si>
    <t>FJC280510B1</t>
  </si>
  <si>
    <t>Wrong option S/N scanned</t>
  </si>
  <si>
    <t>Retraining the personnel in the scanning of the options.</t>
  </si>
  <si>
    <t>FDO2818J116</t>
  </si>
  <si>
    <t>Operation error when answering "yes" prompt without validating chassis connections, disconnected ground cable detected.</t>
  </si>
  <si>
    <t>Validated with education staff, feedback to personnel.</t>
  </si>
  <si>
    <t>FJC29131G8P</t>
  </si>
  <si>
    <t>Incorrect scan of units.</t>
  </si>
  <si>
    <t>FJC292311U0</t>
  </si>
  <si>
    <t>Ground was not connected correctly at hipot station.</t>
  </si>
  <si>
    <t xml:space="preserve">TE install clamp to ensure the ground contact.
For preventive action it implemented a prompt to request check ground connection by operator </t>
  </si>
  <si>
    <t>FJC29031FHJ</t>
  </si>
  <si>
    <t>FDO2753J001</t>
  </si>
  <si>
    <t>Operator removes the unit before the test is finished and it fails.</t>
  </si>
  <si>
    <t>Personnel given feedback to execute the test correctly.</t>
  </si>
  <si>
    <t>FJC28141NY2</t>
  </si>
  <si>
    <t>Unit was not connected properly.</t>
  </si>
  <si>
    <t>Retraining the personnel about the units connection.</t>
  </si>
  <si>
    <t>PETRA-A</t>
  </si>
  <si>
    <t>IE-3400-8P2S-A</t>
  </si>
  <si>
    <t>FVH2915LE2Y</t>
  </si>
  <si>
    <t>Operator tested with wrong line id / retest unit corrected line id</t>
  </si>
  <si>
    <t>Retest without debug (CND)</t>
  </si>
  <si>
    <t>SUMATRA IR8340-K9</t>
  </si>
  <si>
    <t>68-102306-06</t>
  </si>
  <si>
    <t>FDO2907J17L</t>
  </si>
  <si>
    <t>Operator missed scanning the PSU</t>
  </si>
  <si>
    <t>RE-SCAN Assembly</t>
  </si>
  <si>
    <t>IR8340-K9 P-LTE-MNA</t>
  </si>
  <si>
    <t>FDO2911J876</t>
  </si>
  <si>
    <t>This card P-LTE-MNA not mary with this unit / rescan assembly</t>
  </si>
  <si>
    <t>FDO2801J7G8</t>
  </si>
  <si>
    <t>Operator missed to put an extra battery that was in the order.</t>
  </si>
  <si>
    <t>Put an extra battery in an order.</t>
  </si>
  <si>
    <t>IE-9320-24T4X-E</t>
  </si>
  <si>
    <t>68-103806-01</t>
  </si>
  <si>
    <t>FDO2902J4KN</t>
  </si>
  <si>
    <t>HW Fail - Other. Wrong SW installed or Configuration made at Factory</t>
  </si>
  <si>
    <t>FA-0810180</t>
  </si>
  <si>
    <t>C1100TGX-1N24P32A</t>
  </si>
  <si>
    <t>FJC284815SV</t>
  </si>
  <si>
    <t>Network cables not connected in the correct slot.</t>
  </si>
  <si>
    <t>FDO2901J0H4</t>
  </si>
  <si>
    <t>Incorrect Assembly at FDO China (PCB Site)</t>
  </si>
  <si>
    <t> </t>
  </si>
  <si>
    <t>FA-0830702</t>
  </si>
  <si>
    <t>FJC28421HHM</t>
  </si>
  <si>
    <t>C1121-8PLTEP++</t>
  </si>
  <si>
    <t>FJC283413DX</t>
  </si>
  <si>
    <t>Unit was not detecting module ISR-1100-POE4 since was not inserted flush in to slot.</t>
  </si>
  <si>
    <t>Retraining the personnel of third shift regarding the module placement in the ASSY process.</t>
  </si>
  <si>
    <t>C9800-40-K9</t>
  </si>
  <si>
    <t>FOX2805P3ST</t>
  </si>
  <si>
    <t>Unit disconnected in a wrong cell</t>
  </si>
  <si>
    <t>FJC28081RPE</t>
  </si>
  <si>
    <t>Units tested with a NIM that have a failure registered.</t>
  </si>
  <si>
    <t>Unit send to repair technician to capture the repair data.</t>
  </si>
  <si>
    <t>FDO2812J2T6</t>
  </si>
  <si>
    <t>Item not scanned inside ATO.</t>
  </si>
  <si>
    <t>Assembly resent to link the module.</t>
  </si>
  <si>
    <t>Sonic Arthas</t>
  </si>
  <si>
    <t>68-104603</t>
  </si>
  <si>
    <t>Contamination: CHECK SYSTEM UUT CONFIGURATION</t>
  </si>
  <si>
    <t>Retrain the operators to properly clean the golden fingers in accordance with the SOP requirements.</t>
  </si>
  <si>
    <t>WK8Q1FY26</t>
  </si>
  <si>
    <t>PPR REPORT _ FVN IOTBU.xlsx | ETE Action Tracking | row 34</t>
  </si>
  <si>
    <t>RFA-000033</t>
  </si>
  <si>
    <t>Source mode: OPERATOR_PROCESS; Root cause: 1. 2pcs (73-103500-04/FVH2934A8PL,FVH2932AUHU). The golden finger was contaminated. Clean and retest passed.</t>
  </si>
  <si>
    <t>Quarter-end sort date: 2025-10-25; Manufacturer site from report context.</t>
  </si>
  <si>
    <t>Contamination: POE SKYWORKS UPGRADE</t>
  </si>
  <si>
    <t>1. Retrain the operators to properly clean the golden fingers in accordance with the SOP requirements. 2. Retest pass. Same failure can't be duplicated, keep monitor.</t>
  </si>
  <si>
    <t>PPR REPORT _ FVN IOTBU.xlsx | ETE Action Tracking | row 35</t>
  </si>
  <si>
    <t>RFA-000034</t>
  </si>
  <si>
    <t>Source mode: OPERATOR_PROCESS/CND; Root cause: 1. 1pc (73-103500-04/FVH2936AFJ5). The golden finger was contaminated. Clean and retest passed. 2. 1pc CND issue, the unit does not display complete information when running the PoeSkyworksUpgradeBL command</t>
  </si>
  <si>
    <t>FJC2913199G</t>
  </si>
  <si>
    <t>Sonic Petra IE-3500-8P3S-E</t>
  </si>
  <si>
    <t>68-104311</t>
  </si>
  <si>
    <t>Operator. PUSH BUTTON TEST Operator did not press the reset button for more than 5 seconds, causing the test to fail.</t>
  </si>
  <si>
    <t>production line leader re-training for operators.</t>
  </si>
  <si>
    <t>WK11 Q3FY26</t>
  </si>
  <si>
    <t>PPR REPORT _ FVN IOTBU</t>
  </si>
  <si>
    <t>FJC30071H87</t>
  </si>
  <si>
    <t>Ground wire incorrectly connected.</t>
  </si>
  <si>
    <t>1. Operator training (3 shift) and for one month the Quality Inspector will check that the operator follows the process in HI-POT</t>
  </si>
  <si>
    <t>Failed Part</t>
  </si>
  <si>
    <t>FJC30071LDY</t>
  </si>
  <si>
    <t>FAN 2 registred 0RPM</t>
  </si>
  <si>
    <t>In process for Quality Alert to supplier</t>
  </si>
  <si>
    <t>ENCS5412/K9</t>
  </si>
  <si>
    <t>FJC28271TCA</t>
  </si>
  <si>
    <t>A prompt with password was added in order to show the failure to TE and give an opportunity to correct the issue.</t>
  </si>
  <si>
    <t>FJC293817H2</t>
  </si>
  <si>
    <t>The RAM memory was inserted incorrectly into the unit</t>
  </si>
  <si>
    <t>Train/certify to operators for the SYSASSY Process</t>
  </si>
  <si>
    <t xml:space="preserve">Open </t>
  </si>
  <si>
    <t>C1111-8P</t>
  </si>
  <si>
    <t>FGL2941L3DE</t>
  </si>
  <si>
    <t>Broken tab on rear panel preventing fixation. Workmanship defect causing a broken tab on the rear panel.</t>
  </si>
  <si>
    <t>FA-0873075</t>
  </si>
  <si>
    <t>C1131X-8PLTEPWE</t>
  </si>
  <si>
    <t>FVT2909L4H2
FVT2909L63Y</t>
  </si>
  <si>
    <t>WIFI antenna cable bad contact</t>
  </si>
  <si>
    <t>The unit passes after reinstalling the WiFi antenna cable.</t>
  </si>
  <si>
    <t>FY2025 M08 W1</t>
  </si>
  <si>
    <t>Sumatra IR8340-K9</t>
  </si>
  <si>
    <t>68-102306</t>
  </si>
  <si>
    <t>LED TEST failure due to incorrect handling during the connection of the main board to the LED board, the flat cable was defective.</t>
  </si>
  <si>
    <t xml:space="preserve"> Retrain operators add a detailed work instruction and visual reference in the SOP.</t>
  </si>
  <si>
    <t>WK3 Q4FY26</t>
  </si>
  <si>
    <t xml:space="preserve"> After disassembling the top cover, the power cable was found pressing against the PCBA. Reassembled the power cable and resolved the issue.</t>
  </si>
  <si>
    <t>Require the OP to secure the power cable with a clip to prevent it from touching the PCBA. Added a detailed image to the SOP to remind the OP.</t>
  </si>
  <si>
    <t>C1109-4PLTE2P</t>
  </si>
  <si>
    <t>FGL2805L96X</t>
  </si>
  <si>
    <t>The console LED had detached from the board, so it did not illuminate after startup.</t>
  </si>
  <si>
    <t>Restore or replace the LED attachment and send the case for manufacturing root-cause corrective action.</t>
  </si>
  <si>
    <t>FA-0684170</t>
  </si>
  <si>
    <t>C1121-4P</t>
  </si>
  <si>
    <t>FVT2920L2VC</t>
  </si>
  <si>
    <t>A heatsink thermal-pad label was left in place during assembly, causing overheating and internal damage to the CPU and other devices across the 3.3 V, 2.5 V, and 1.2 V rails.</t>
  </si>
  <si>
    <t>Close as a workmanship issue, scrap the affected unit, and send the heatsink pad to FARC for manufacturing corrective action.</t>
  </si>
  <si>
    <t>FA-0860982</t>
  </si>
  <si>
    <t>EPA-QSFP-1X100GE; ASR1000</t>
  </si>
  <si>
    <t>FXS2403Q1WB, FOX2815P3PE, FXS2317Q0EC</t>
  </si>
  <si>
    <t>Test Escapee: NCB failing to record PCBP2, cesium gateway catched but allow pass FVMI.</t>
  </si>
  <si>
    <t>Low risk on test escapee for PCB2C referring historical data and monitoring for 1 quarter.</t>
  </si>
  <si>
    <t>SCQO</t>
  </si>
  <si>
    <t>SCQO REPORT 01-01-24 to 07-21-26.xlsx | Sheet1 | row 83</t>
  </si>
  <si>
    <t>TPD-1101</t>
  </si>
  <si>
    <t>RFA-000014</t>
  </si>
  <si>
    <t>Source mode: EMS Partner/BTS:Method; Root-cause code: EMS Partner/BTS(No/Improper Process Control); Root cause: What?: - There are 3 SN from SRGBU (Orthrus-QSFP-1X100) were found out that tested PCBP2 but skipped PCB2C and PCBVF and shipped to customer. SN: FCB2827W00V (Parent SN: FXS2403Q1WB), SN: FCB2824W0AD (Parent SN: FOX28...</t>
  </si>
  <si>
    <t>Failed units derived from one clearly labeled SCQO narrative quantity.; Source provides manufacturer but no approved site.; Total units unavailable; failure rate left blank.</t>
  </si>
  <si>
    <t>Failure % in report</t>
  </si>
  <si>
    <t>FDO2801J6TT</t>
  </si>
  <si>
    <t>Assembly with partial SN sending problems, deconfigured and sent back to assembly for correct coupling.</t>
  </si>
  <si>
    <t>FJC29071AFR</t>
  </si>
  <si>
    <t>Issue in hipot station related to door not closed, operator issue.</t>
  </si>
  <si>
    <t>Production was informed about the issue to ensure the door is perfectly closed.</t>
  </si>
  <si>
    <t>FJC29271M44</t>
  </si>
  <si>
    <t>Poorly asssembly Process</t>
  </si>
  <si>
    <t>Retraining to operator the Assembly Process</t>
  </si>
  <si>
    <t>FJC28091A41</t>
  </si>
  <si>
    <t>NIM not assembled flush in to chassis</t>
  </si>
  <si>
    <t>Retraining the personnel of third shift regarding the NIM placement if the memories in the ASSY process.</t>
  </si>
  <si>
    <t>IR8340-K9</t>
  </si>
  <si>
    <t>FDO2843J16S</t>
  </si>
  <si>
    <t>Wrong SW installed or Configuration made at Factory</t>
  </si>
  <si>
    <t>FA-0793580</t>
  </si>
  <si>
    <t>BLACKHEART</t>
  </si>
  <si>
    <t>ESR-6300-NCP-K9= 68-102311-04</t>
  </si>
  <si>
    <t>FVH2952AE6J</t>
  </si>
  <si>
    <t>INCORRECT_OPERATOR_RESPONSE Operator forgot Heatsink</t>
  </si>
  <si>
    <t>Re-seated Heatsink</t>
  </si>
  <si>
    <t>FVT2935L5ZK</t>
  </si>
  <si>
    <t>Module can't boot up</t>
  </si>
  <si>
    <t xml:space="preserve">Reinstalling the module after retries and power cycling resolves the problem.
</t>
  </si>
  <si>
    <t>FY2026 M2 W1</t>
  </si>
  <si>
    <t>C1131-8PLTEPWB</t>
  </si>
  <si>
    <t>FVT2933L2KE</t>
  </si>
  <si>
    <t xml:space="preserve"> WIFI antenna cable bad contact</t>
  </si>
  <si>
    <t>FY2026 M1 W3</t>
  </si>
  <si>
    <t>C1131-8PLTEPWE</t>
  </si>
  <si>
    <t>FVT2925L1FZ
FVT2925L2B5</t>
  </si>
  <si>
    <t>FY2025 M11 W4</t>
  </si>
  <si>
    <t>VG410-24FXS</t>
  </si>
  <si>
    <t>FJC28391VZV</t>
  </si>
  <si>
    <t>Power cycle form the ATE need to be refurbished by changing the fans, PO in process, quote already send to TDE.
Operators disconnect unit in a wrong cell (9 and 11),</t>
  </si>
  <si>
    <t>Place a PO to change the fans of the power cycle. TE is refurbishing the stations to ensure the cables can not be used in a wrong cell.</t>
  </si>
  <si>
    <t>FVH2946L7U8, FVH2947LDCP</t>
  </si>
  <si>
    <t>COMPONENT_FAILURE bad MicroUSB port / operator issue/ replace chassis</t>
  </si>
  <si>
    <t>REPLACE CHASSIS</t>
  </si>
  <si>
    <t>FJC29341849, etc.</t>
  </si>
  <si>
    <t>Failure mode: 
Failures of Check Inventory per wrong assembly
Troubleshooting: TE review the test logs and found the issue.
Retest: pass</t>
  </si>
  <si>
    <t>Retraining the personnal with the connections of correctly assembly
Training and certifications/</t>
  </si>
  <si>
    <t>Failure mode: 
Units with 2 Power Supply disconnected
Troubleshooting: TE review the test logs and found the issue.
Retest: pass</t>
  </si>
  <si>
    <t>Retraining the personnal with the connections of Power Supply's
Training and certifications/</t>
  </si>
  <si>
    <t>FJC293413WJ, etc.</t>
  </si>
  <si>
    <t>Failure mode: 
Wrong scanning in assembly
Troubleshooting: TE review the test logs and found the issue.
Retest: pass</t>
  </si>
  <si>
    <t>Retrainning the personal with the correctly scanning of the units in Assembly Area
Training and certifications/</t>
  </si>
  <si>
    <t>Equipment/Fixture</t>
  </si>
  <si>
    <t>68-102700-02</t>
  </si>
  <si>
    <t xml:space="preserve">TEST_SETUP_ISSUE UUT failed to get any output from the microusb connection </t>
  </si>
  <si>
    <t>reseated the microusb connection, retested and passed</t>
  </si>
  <si>
    <t>SYSFT</t>
  </si>
  <si>
    <t>Infrastructure</t>
  </si>
  <si>
    <t>A wiring issue with the power outlet caused a power loss to the chamber and all connected UUTs.</t>
  </si>
  <si>
    <t>Facility maintenance inspected the area, identified the faulty outlet, and replaced it.</t>
  </si>
  <si>
    <t>WK4 Q4FY26</t>
  </si>
  <si>
    <t>FJC283415G8</t>
  </si>
  <si>
    <t>Units were aborted by operator</t>
  </si>
  <si>
    <t>Password of the SEC account was changed in order to avoid the units aborted.</t>
  </si>
  <si>
    <t>Contamination: TM MDIO TEST</t>
  </si>
  <si>
    <t>PPR REPORT _ FVN IOTBU.xlsx | ETE Action Tracking | row 33</t>
  </si>
  <si>
    <t>RFA-000032</t>
  </si>
  <si>
    <t>Source mode: OPERATOR_PROCESS/CND; Root cause: 1. 1pc (73-103500-04/FVH2934A8QP).The golden finger was contaminated. Clean and retest passed. 2. 2pcs CND issue, Mdio status cannot be read.</t>
  </si>
  <si>
    <t>FDO2813J0D1</t>
  </si>
  <si>
    <t>Operator did not remove the screw for production unit retest.</t>
  </si>
  <si>
    <t>Staff informed of changes and notified of the correct procedure.</t>
  </si>
  <si>
    <t>Equipment</t>
  </si>
  <si>
    <t>FDO2814J009</t>
  </si>
  <si>
    <t>Equipment updated sensor programming as independent input.</t>
  </si>
  <si>
    <t>Updating the block calling automatic server commands; block renamed to call the same commands.</t>
  </si>
  <si>
    <t>Petra IE-3300-8P2S-A</t>
  </si>
  <si>
    <t>68-101989</t>
  </si>
  <si>
    <t>FVH2941LG7F
FVH2942LEK9</t>
  </si>
  <si>
    <t>SYSTEM LED TEST. FVH2941LG7F ,Operator should have scanned R (red), but scanned A (amber) instead, resulting in failure. FVH2942LEK9,Dropped console after testing Button, resulting in failure.</t>
  </si>
  <si>
    <t>Enhance training for new employees, verifying correctness before scanning.Performing process optimization, adding idiot-proof checkpoints.</t>
  </si>
  <si>
    <t>WK12 Q1FY26</t>
  </si>
  <si>
    <t>FJC292311U0, etc.</t>
  </si>
  <si>
    <t>Operator responds to error message (GND test failure)</t>
  </si>
  <si>
    <t>Feedback was given to the production members.</t>
  </si>
  <si>
    <t>FJC28121F07</t>
  </si>
  <si>
    <t>Unit was not connected properly in to net cables (inverted).</t>
  </si>
  <si>
    <t>FJC28091P6D</t>
  </si>
  <si>
    <t>Unit was not connected properly in to net cables (inverted)</t>
  </si>
  <si>
    <t>FDO2802J888
FDO2809J0F6</t>
  </si>
  <si>
    <t>Coupled battery serial does not match the serial read in idprom.</t>
  </si>
  <si>
    <t>Clarke IE-9320-22S2C4X-A</t>
  </si>
  <si>
    <t>FDO2914J27K</t>
  </si>
  <si>
    <t>Inserted SD card not property / reseated</t>
  </si>
  <si>
    <t>RE-SEATED RISER CARD</t>
  </si>
  <si>
    <t>FDO2801J6BU
FDO2801J6BL</t>
  </si>
  <si>
    <t>Linked item assembled in a different unit, manufacturing investigation requested, and request to disassemble and re-assemble with the correct items.</t>
  </si>
  <si>
    <t>MORENO LITE</t>
  </si>
  <si>
    <t>IE-4010-16S12P 68-6048-02</t>
  </si>
  <si>
    <t>FDO2945J6D4</t>
  </si>
  <si>
    <t>CABLE_LOOSE ethernet cable loose / reseated cable</t>
  </si>
  <si>
    <t>RE-SEATED CABLE</t>
  </si>
  <si>
    <t>FVT2910L3AR
FVT2909L5TQ
FVT2910L05V</t>
  </si>
  <si>
    <t>FY2025 M08 W2</t>
  </si>
  <si>
    <t>ISR1100-4GLTENA</t>
  </si>
  <si>
    <t>FJC28311BE0</t>
  </si>
  <si>
    <t xml:space="preserve">Units were tested in hipot with out FST (data show units  pass from ASSY to Hipot, bypassing FST).
</t>
  </si>
  <si>
    <t>Script will be updated to place the area check to pre sequence.</t>
  </si>
  <si>
    <t>FJC30151TL6</t>
  </si>
  <si>
    <t>Production error due to incorrect scanning of the SN in fst.</t>
  </si>
  <si>
    <t>1. The production supervisor gave a warning to operator of the failure
2. The production supervisor provide a feedback and re-training to all operators
3. Minute of the meeting / Done</t>
  </si>
  <si>
    <t>Katar C9800-F-K9</t>
  </si>
  <si>
    <t>74-121499-03</t>
  </si>
  <si>
    <t>FCL29370005</t>
  </si>
  <si>
    <t>Cable not connected well before UUT testing.</t>
  </si>
  <si>
    <t>Operator training</t>
  </si>
  <si>
    <t>PPR Report _ FOXCONN WNBU</t>
  </si>
  <si>
    <t>FDO2915J014</t>
  </si>
  <si>
    <t>missing scanned HWIC / rescan</t>
  </si>
  <si>
    <t>C8500-12X4QC</t>
  </si>
  <si>
    <t>TTM290401YE</t>
  </si>
  <si>
    <t>Units tested in a wrong symbolic link.</t>
  </si>
  <si>
    <t>APC will eliminate the necessity to select different links.</t>
  </si>
  <si>
    <t>VG420-84FXS/6FXO</t>
  </si>
  <si>
    <t>FJC28361SAS</t>
  </si>
  <si>
    <t>Wrong AC cable not fully connected, then the unit failed.</t>
  </si>
  <si>
    <t>Retraining the personnel about the PS connections.
Use UMT accounts for every shift.
TE to improve test script to give a second chance.</t>
  </si>
  <si>
    <t>TTM2748034Z</t>
  </si>
  <si>
    <t xml:space="preserve">assembly issue, FAN, SSD, etc.
</t>
  </si>
  <si>
    <t>Retraining the personnel about the module assembly.</t>
  </si>
  <si>
    <t>C1121X-8P</t>
  </si>
  <si>
    <t>FJC2830165S</t>
  </si>
  <si>
    <t xml:space="preserve">Unit disconnected in a wrong cell
</t>
  </si>
  <si>
    <t>TEST_SETUP_ISSUE unit failed to download IOS image from tftp due to not connect to SRM server</t>
  </si>
  <si>
    <t>Checked and replaced Ethernet cables.  Retest</t>
  </si>
  <si>
    <t>Testing
OPERATOR_PROCESS</t>
  </si>
  <si>
    <t>FVT2902L2FH</t>
  </si>
  <si>
    <t>FY2025 M06 W3</t>
  </si>
  <si>
    <t>FDO2812J282</t>
  </si>
  <si>
    <t>Operator forgot to connect the internal PSU ground cable.</t>
  </si>
  <si>
    <t>Unit opened and assembly error detected.</t>
  </si>
  <si>
    <t>FDO2812J2H4</t>
  </si>
  <si>
    <t>Hipot ground cable hot (out of parameters).</t>
  </si>
  <si>
    <t>Terminal replaced with more robust 1200w cable.</t>
  </si>
  <si>
    <t>FJC29161369</t>
  </si>
  <si>
    <t>FJC290810G4</t>
  </si>
  <si>
    <t>IW9167EH-B-AP</t>
  </si>
  <si>
    <t>74-128447-01</t>
  </si>
  <si>
    <t>KWC280800QY</t>
  </si>
  <si>
    <t>HW Fail - Boot Up. Open/Short Circuit (Non-Solder)</t>
  </si>
  <si>
    <t>FA-0720620</t>
  </si>
  <si>
    <t>FDO2817J792</t>
  </si>
  <si>
    <t>FA-0758016</t>
  </si>
  <si>
    <t>FJC2838178J</t>
  </si>
  <si>
    <t>In test TAN was not obtained, for this the script have a prompt 3 retries, operator does not answered correctly this prompt instead to call TE to solve the problem.</t>
  </si>
  <si>
    <t>Retraining the personnel about the prompts, they are not supposed to answer this one, they need to call TE:</t>
  </si>
  <si>
    <t>VG310</t>
  </si>
  <si>
    <t>FJC28271XD3</t>
  </si>
  <si>
    <t>Unit was not detecting module PVDM-32 since was not inserted flush in to slot.</t>
  </si>
  <si>
    <t>Solder</t>
  </si>
  <si>
    <t>73-101294</t>
  </si>
  <si>
    <t>Solder: Open Solder @CR2*1pc TBD*1pc. Feeder not stable and AOI parameter required adjustment</t>
  </si>
  <si>
    <t>To ensure feeder stability, the LEDs must use professional feeders with shrapnel. Adjust the AOI parameter from the 140um to 120um ,which can cover the defect.</t>
  </si>
  <si>
    <t>WK13 Q1FY25</t>
  </si>
  <si>
    <t>PPR REPORT _ FVN IOTBU.xlsx | ICT Action Tracking | row 6</t>
  </si>
  <si>
    <t>RFA-000012</t>
  </si>
  <si>
    <t>Root cause: CR2 open solder 1.B side LED open solder,AOI didn't cover. 2. Check the AOI image showed that the the component was slightly offset. 3.Check SPI data, it is under control. 4.It was analyzed that the feeder was unstabl...</t>
  </si>
  <si>
    <t>Quarter-end sort date: 2024-10-26; Manufacturer site from report context.; Issue quantity parsed from defect-specific narrative.</t>
  </si>
  <si>
    <t>FDO2813J0P9</t>
  </si>
  <si>
    <t>Operator did not fully connect the cable in the connector.</t>
  </si>
  <si>
    <t>Inserted completely and retest performed.</t>
  </si>
  <si>
    <t>Test</t>
  </si>
  <si>
    <t>FDO2812J2HD
FDO2812J20G</t>
  </si>
  <si>
    <t>Item in genealogy not linked to the major PID in Cesium.</t>
  </si>
  <si>
    <t>Solder: CHECK RTC HTHV</t>
  </si>
  <si>
    <t>1. Sent the abnormal feeder for repair and maintenance, and keep tracking. 2. Use defect images to train visual inspection.</t>
  </si>
  <si>
    <t>PPR REPORT _ FVN IOTBU.xlsx | ETE Action Tracking | row 26</t>
  </si>
  <si>
    <t>RFA-000030</t>
  </si>
  <si>
    <t>Source mode: Process/NPF; Root cause: 3pcs (Y3) open solder: (The defect occurred in the same panel with 2 PCS affected.) 1. The feeder was unstable, which caused pick up offset and open after the reflow. 2. AOI covered but skipped by OP. 3. The AOI defec...</t>
  </si>
  <si>
    <t>Contamination: TM I2C TEST</t>
  </si>
  <si>
    <t>PPR REPORT _ FVN IOTBU.xlsx | ETE Action Tracking | row 32</t>
  </si>
  <si>
    <t>RFA-000031</t>
  </si>
  <si>
    <t>Source mode: OPERATOR_PROCESS/CND; Root cause: 1. 1pc (73-103500-04/FVH2934A8R4). The golden finger was contaminated. Clean and retest passed. 2. 3pcs CND issue, dopgs_bsp_i2c_read(475): Bus error</t>
  </si>
  <si>
    <t>FJC29271EEV</t>
  </si>
  <si>
    <t>The Unit not placed correctly in station of RFID</t>
  </si>
  <si>
    <t xml:space="preserve">
RFID Service is monitored</t>
  </si>
  <si>
    <t>FVH2948LBQR, FVH2949L2DT, FVH2949L2AZ</t>
  </si>
  <si>
    <t>INCORRECT_OPERATOR_RESPONSE operator inserted MicroUSB unproperly</t>
  </si>
  <si>
    <t>FDO2813J0HJ</t>
  </si>
  <si>
    <t>Operator places unit poorly in the nest, causing a presence sensor failure.</t>
  </si>
  <si>
    <t>Setup</t>
  </si>
  <si>
    <t>The console cable is unstable, resulting in no response after running commands.</t>
  </si>
  <si>
    <t>The test passed after reseating the console cable. Keep monitor.</t>
  </si>
  <si>
    <t>Solder: Solder Bridge*3pcs ( CR1,CR3,CR6) PN: 25-100310-01 is LED component. Open Solder@CR7*1pc</t>
  </si>
  <si>
    <t>Sent the abnormal feeder (YQ08080Y20056) for repair and maintenance,  trained operator</t>
  </si>
  <si>
    <t>PPR REPORT _ FVN IOTBU.xlsx | ICT Action Tracking | row 8</t>
  </si>
  <si>
    <t>RFA-000025</t>
  </si>
  <si>
    <t>Root cause: 25-100310-01 is LED component. 1. It was analyzed that the feeder was unstable, which caused pick up offset after the reflow. 2. AOI covered but skipped by OP.</t>
  </si>
  <si>
    <t>Quarter-end sort date: 2025-07-26; Failed units derived from summed defect-specific ICT issue quantities.; Manufacturer site from report context.; Parent Failed Qty was not allocated across multiple issue rows.</t>
  </si>
  <si>
    <t>FJC284713H0</t>
  </si>
  <si>
    <t>Connection of AC cable in a wrong cell.</t>
  </si>
  <si>
    <t>FJC284713HT</t>
  </si>
  <si>
    <t>Operator Error</t>
  </si>
  <si>
    <t>STP290701X1
(SYSASSY)</t>
  </si>
  <si>
    <t>Wrong scanning information to the tester</t>
  </si>
  <si>
    <t>1. SYSASSY auto get the configuation data from FITs after SN of UUT.
2. Ensure operator passed training, SOP and track operator EN.</t>
  </si>
  <si>
    <t>FJC28281586</t>
  </si>
  <si>
    <t>Wrong input from operator. Number of LED was not correct.</t>
  </si>
  <si>
    <t>C1131-8PWE</t>
  </si>
  <si>
    <t>FVT2902L6N2</t>
  </si>
  <si>
    <t>VG420-144FXS</t>
  </si>
  <si>
    <t>74-124585-01</t>
  </si>
  <si>
    <t>FJC29271BYS; FJC29351GJ</t>
  </si>
  <si>
    <t>Ports randomly shutting down: Incomplete mating of daughter card signal connectors causing port link down failure.</t>
  </si>
  <si>
    <t>Case closed as workmanship/mechanical; root cause investigation and corrective action pursued with component suppliers.</t>
  </si>
  <si>
    <t>FA-0895725</t>
  </si>
  <si>
    <t>FDO2913J7J7</t>
  </si>
  <si>
    <t>Unit didn't pass assy / rescan assy</t>
  </si>
  <si>
    <t>FLX2951027A</t>
  </si>
  <si>
    <t>The PC that sends the POD label is locked up; it was only one unit, but the fault was uploaded to the child units.</t>
  </si>
  <si>
    <t>The PC was restarted and the drives were run through the test again.</t>
  </si>
  <si>
    <t>FDO2801J7HN
FDO2752J9UJ
FDO2801J6N0</t>
  </si>
  <si>
    <t>Assembly station error, does not send complete genealogy, issue escalated to IT and product support.</t>
  </si>
  <si>
    <t>FDO2801J6LZ
FDO2753J0SK
FDO2809J06Z</t>
  </si>
  <si>
    <t>Power cable incorrectly connected during testing.</t>
  </si>
  <si>
    <t>FJC283119B0</t>
  </si>
  <si>
    <t>FJC281919UU</t>
  </si>
  <si>
    <t>Unit was not connected properly, reversed net cables.</t>
  </si>
  <si>
    <t>Retraining the personnel about the units connection. Add SOP to show operator. See if is possible to add this step to presecuence</t>
  </si>
  <si>
    <t>C8500-12X4QC=</t>
  </si>
  <si>
    <t>73-19025-06</t>
  </si>
  <si>
    <t>TTM284501MW</t>
  </si>
  <si>
    <t>Fo0/2/0 port down, SFP not connecting. The issue was due to a defective component causing the bad port.</t>
  </si>
  <si>
    <t>The problem was resolved by replacing the affected chassis.</t>
  </si>
  <si>
    <t>FA-0807899</t>
  </si>
  <si>
    <t>IE-4010-16S12P</t>
  </si>
  <si>
    <t>MORENO LITE/MORENO</t>
  </si>
  <si>
    <t>Tested in wrong container.</t>
  </si>
  <si>
    <t>Retested. Update SYSFT to make more universal</t>
  </si>
  <si>
    <t>FJC30141KC6</t>
  </si>
  <si>
    <t>The units were connected incorrectly (cell cables were reversed).</t>
  </si>
  <si>
    <t>The unit was re-tested in SYSFT and can be pass the SYSFT path. Also the production supervisor make a meeting with the personnel of production involved in the opeation to explain the issue "The units were connnected incorrectly"</t>
  </si>
  <si>
    <t>FJC28511U0R</t>
  </si>
  <si>
    <t>Unit was not placed correctly in he ATE, RFID was not detected.</t>
  </si>
  <si>
    <t xml:space="preserve">Retraining the personnel about the placement of the unit in the ATE.
Implement the UMT accounts specific for every shift. </t>
  </si>
  <si>
    <t>FJC2809147V</t>
  </si>
  <si>
    <t>BLACKHEART ESR-6300-NCP-K9=</t>
  </si>
  <si>
    <t>TEST_SETUP_ISSUE unable to connect to CSSM server to download license.</t>
  </si>
  <si>
    <t>re-seat gold heat sink and retest</t>
  </si>
  <si>
    <t>FDO2812J1LZ
FDO2812J24U
FDO2812J2KL
FDO2811J0GT
FDO2810J20F</t>
  </si>
  <si>
    <t>Overheating detected in power cable after several test cycles, potentially causing out-of-parameter performance.</t>
  </si>
  <si>
    <t>C8500-12X</t>
  </si>
  <si>
    <t>TTM2914014W</t>
  </si>
  <si>
    <t xml:space="preserve">It found connector RJ45 disconnected </t>
  </si>
  <si>
    <t xml:space="preserve">Place visual aid to indicate the connections of the RJ45 connectors, includes cables and setting of the unit </t>
  </si>
  <si>
    <t>FVH2951L835, FVH2952LCP8</t>
  </si>
  <si>
    <t>INCORRECT_OPERATOR_RESPONSE missing scanned assy/ rescan assy</t>
  </si>
  <si>
    <t>FVT2943L4JH</t>
  </si>
  <si>
    <t>FY2026 M3 W5</t>
  </si>
  <si>
    <t>FJC283611YQ</t>
  </si>
  <si>
    <t>Communication issue between FXS board and mainboard.</t>
  </si>
  <si>
    <t>Implement a cleaning process to use ionized air for the mainboard connectors and alcohol to clean the PCI-E connector of the FXS board.
A process was added to reseat the board 3 times to ensure electrical contact.
A cleaning process was implemented using connectors for the PCI-E of the FXS board, this by connecting 3 times, at the moment 15 units with no issues.
Add the use of the contact cleaner for the FXS board PCI-E connector.</t>
  </si>
  <si>
    <t>FJC29041UP9</t>
  </si>
  <si>
    <t>Production was informed about the issue and changed to line 1.
ASSY script will be updated, both lines will be able to run all PIDs.</t>
  </si>
  <si>
    <t>68-104511</t>
  </si>
  <si>
    <t>PPR REPORT _ FVN IOTBU.xlsx | ETE Action Tracking | row 37</t>
  </si>
  <si>
    <t>RFA-000035</t>
  </si>
  <si>
    <t>Source mode: OPERATOR_PROCESS/CND; Root cause: 1. 1pc (73-103500-04/ FVH2934A8QJ). The golden finger was contaminated. Clean and retest passed. 2. 1pc CND issue, dopgs_bsp_i2c_read(475): Bus error</t>
  </si>
  <si>
    <t>1. Retrain the operators to properly clean the golden fingers in accordance with the SOP requirements. 2.TE collects GBs with high number of failures and verifies. Keep monitor.</t>
  </si>
  <si>
    <t>PPR REPORT _ FVN IOTBU.xlsx | ETE Action Tracking | row 39</t>
  </si>
  <si>
    <t>RFA-000036</t>
  </si>
  <si>
    <t>Source mode: OPERATOR_PROCESS/GB; Root cause: 1. 1pc (73-103500-04/FVH2932AUHU). The golden finger was contaminated. Clean and retest passed. 2. 1pc The unit cannot read GB information</t>
  </si>
  <si>
    <t>FJC29131U42</t>
  </si>
  <si>
    <t>Units tested in a wrong mode in the platform of APC, (MC and PC).</t>
  </si>
  <si>
    <t>MC and PC is already in the cell.</t>
  </si>
  <si>
    <t>FDO2752J70L
FDO2752J89P
FDO2753J00F</t>
  </si>
  <si>
    <t>Booth damaged by use, the sliding carriage where the guard slides broke</t>
  </si>
  <si>
    <t>Supplier to repair the equipment</t>
  </si>
  <si>
    <t>FJC29391GBX</t>
  </si>
  <si>
    <t>Operator error, the number of LEDs was entered incorrectly.</t>
  </si>
  <si>
    <t>Train/certify to operators for the SYSFT Process</t>
  </si>
  <si>
    <t xml:space="preserve">Clarke </t>
  </si>
  <si>
    <t>IE-9320-24P4S-A</t>
  </si>
  <si>
    <t>FDO2950JB24</t>
  </si>
  <si>
    <t>MISSED_SCAN Unit failed due to PSU not programmed with unit. Sending to assembly for rescan.</t>
  </si>
  <si>
    <t>BLACKHEART ESR-6300-CON-K9</t>
  </si>
  <si>
    <t>68-102197-02</t>
  </si>
  <si>
    <t>TEST_SETUP_ISSUE 1 unit: gold heat sink issue caused unit overheat and hung during test.</t>
  </si>
  <si>
    <t>FJC281812ML</t>
  </si>
  <si>
    <t>FJC280717FR</t>
  </si>
  <si>
    <t>WORKMANSHIP</t>
  </si>
  <si>
    <t>KATAR</t>
  </si>
  <si>
    <t>C9800-L-C-K9</t>
  </si>
  <si>
    <t>FCL293200MN</t>
  </si>
  <si>
    <t>Unit failed due to wrong cabling config. Reseated cables to correct port then retested in same cell and passed FST.</t>
  </si>
  <si>
    <t>VG410-48FXS</t>
  </si>
  <si>
    <t>FJC29191PP2</t>
  </si>
  <si>
    <t>1. Required OP clean the adhesive residue of golden fingers before assembly. 2. Replaced the VN tape vendor to CN vendor, will keep monitoring.</t>
  </si>
  <si>
    <t>WK7 Q2FY26</t>
  </si>
  <si>
    <t>PPR REPORT _ FVN IOTBU.xlsx | ETE Action Tracking | row 90</t>
  </si>
  <si>
    <t>RFA-000042</t>
  </si>
  <si>
    <t>Source mode: Process; Root cause: PCBA is contaminated. Clean out and retest pass</t>
  </si>
  <si>
    <t>Quarter-end sort date: 2026-01-24; Manufacturer site from report context.</t>
  </si>
  <si>
    <t>PPR REPORT _ FVN IOTBU.xlsx | ETE Action Tracking | row 91</t>
  </si>
  <si>
    <t>RFA-000043</t>
  </si>
  <si>
    <t>FJC28241NEZ</t>
  </si>
  <si>
    <t>MB assembly issue by operator.</t>
  </si>
  <si>
    <t>Retraining the personnel about the MB.
A process will be added to reseat the board 2 times to ensure electrical contact.
All orders will run in fist shift and the assembly process will be reviewed by a QE inspector.</t>
  </si>
  <si>
    <t>FJC28101VQ2</t>
  </si>
  <si>
    <t>FJC281519MN</t>
  </si>
  <si>
    <t>FJC300710G0</t>
  </si>
  <si>
    <t>Wrong scan, the unit serial number did not match the scan.</t>
  </si>
  <si>
    <t>1. Feedback and re-training to operator in scanning process
2.Ensure to operators make a correct scanning in assembly and the 2 SNs scanned will be match on the moment of the scan</t>
  </si>
  <si>
    <t>FJC281314BP</t>
  </si>
  <si>
    <t>FJC29211BE3</t>
  </si>
  <si>
    <t>TE is in process to add a regex in the script to correct the issue.</t>
  </si>
  <si>
    <t>FJC2904158R</t>
  </si>
  <si>
    <t>One of the 3 FANs not connected, 0 RPM.</t>
  </si>
  <si>
    <t>Retraining the personnel of all shifts regarding the FAN placement if the memories in the ASSY process.</t>
  </si>
  <si>
    <t>FJC28511RRN</t>
  </si>
  <si>
    <t>FJC29471QFS</t>
  </si>
  <si>
    <t>Various causes:
*Some units failed due to the renaming to test areas.
*Other units failed due to incorrect processing of RFID units. 
*Intermittent RFID service.</t>
  </si>
  <si>
    <t>Under investigation(Intermittent RFID Service) / Jian-Bang
Training and Feedback to Operator about the correct connections / Minute</t>
  </si>
  <si>
    <t>C8500-20X6C=</t>
  </si>
  <si>
    <t>FOX2943PXM9</t>
  </si>
  <si>
    <t>Equipment issue. The Cycling Box circuit breaker tripped due to overcurrent.</t>
  </si>
  <si>
    <t xml:space="preserve">Add additional test stations to support ACE product testing, as the testing requires high current consumption beyond the capacity of the current setup.
</t>
  </si>
  <si>
    <t>PCBVF confirmed</t>
  </si>
  <si>
    <t>FJC28491CUG</t>
  </si>
  <si>
    <t>Operator error</t>
  </si>
  <si>
    <t>ASR1009-X</t>
  </si>
  <si>
    <t>FOX2817P90S</t>
  </si>
  <si>
    <t xml:space="preserve">Fail : STANDBY PARSE DIAG FAILURE
Unit fail : Mathod issue
After fail we found console dissconect </t>
  </si>
  <si>
    <t>IW9167EH-E-AP</t>
  </si>
  <si>
    <t>74-128447-03</t>
  </si>
  <si>
    <t>KWC283806PL</t>
  </si>
  <si>
    <t>HW Fail - Power. Open/Short Circuit (Non-Solder)</t>
  </si>
  <si>
    <t>FA-0845669</t>
  </si>
  <si>
    <t>?</t>
  </si>
  <si>
    <t>FJC292616RZ</t>
  </si>
  <si>
    <t>RFID service failures</t>
  </si>
  <si>
    <t>RFID Service is monitored. TE troubleshooted issue, and found issue in the test logs. Retest: Pass after retest</t>
  </si>
  <si>
    <t>ISR4431/K9</t>
  </si>
  <si>
    <t>FJC280611NE</t>
  </si>
  <si>
    <t>FJC28321HWV</t>
  </si>
  <si>
    <t>Units were tested in a ATE that was invalidation by TE.</t>
  </si>
  <si>
    <t>TE stop the test and to finish the validation.</t>
  </si>
  <si>
    <t>AVENTUS</t>
  </si>
  <si>
    <t>IR1835-K9 68-102700-06</t>
  </si>
  <si>
    <t>FVH3003LGWY</t>
  </si>
  <si>
    <t>MISASSEMBLED Misassembled / Rescan assembly</t>
  </si>
  <si>
    <t>FDO2822J04D
FDO2831J00D
FDO2838J771
FDO2838J4HN
FDO2822J04J
FDO2839J4G4</t>
  </si>
  <si>
    <t>Serial on label does not match programmed serial in memory.</t>
  </si>
  <si>
    <t>Material sent as RMA.</t>
  </si>
  <si>
    <t>FVT2922L4E6, FVT2922L4DX, FVT2922L4BV</t>
  </si>
  <si>
    <t>FY2025 M11 W1</t>
  </si>
  <si>
    <t>SUMATRA</t>
  </si>
  <si>
    <t>FDO2939JB42</t>
  </si>
  <si>
    <t>FDO2939J9DL</t>
  </si>
  <si>
    <t>FJC28371NXY</t>
  </si>
  <si>
    <t>FJC28381U70</t>
  </si>
  <si>
    <t>NIM not assembled flush in to chassis.</t>
  </si>
  <si>
    <t>IE-9310-26S2C-E</t>
  </si>
  <si>
    <t>68-103295-03</t>
  </si>
  <si>
    <t>FDO2822J1LL</t>
  </si>
  <si>
    <t>HW Fail - Power</t>
  </si>
  <si>
    <t>FA-0734340</t>
  </si>
  <si>
    <t>TTM291000BN</t>
  </si>
  <si>
    <t>Missing deviation label on physical unit due to lack of process control</t>
  </si>
  <si>
    <t>permanent creation of printing center with authorized printing and reprints; enhance FITS system validation; update FMEA and expand process control to NCB DF site</t>
  </si>
  <si>
    <t>SCQO REPORT 01-01-24 to 07-21-26.xls</t>
  </si>
  <si>
    <t>APD-1133</t>
  </si>
  <si>
    <t>Failure % in Report</t>
  </si>
  <si>
    <t>IR8340-K9 68-102306-06</t>
  </si>
  <si>
    <t>FDO3015J880</t>
  </si>
  <si>
    <t>MISSED_SCAN Missing scan PSU / Re-scan assy</t>
  </si>
  <si>
    <t>FJC294815TB</t>
  </si>
  <si>
    <t>This is caused by an operator error when swapping console cables; this was discovered because the PCB_SN does not match the genealogy</t>
  </si>
  <si>
    <t>*Define ""FCJ"" in Script (Only FGL and FVI are currently defined)
*Operator training for correct scanning and connections in units(Compares Chassis SN against the SN of the parent unit that has Cesium; If the parent unit does not match the scanned unit, it means that it is incorrectly connected or scanned)</t>
  </si>
  <si>
    <t>Cosmetic</t>
  </si>
  <si>
    <t>IE-9320-22S2C4X-A</t>
  </si>
  <si>
    <t>68-103722-04</t>
  </si>
  <si>
    <t>FDO2802J8SJ</t>
  </si>
  <si>
    <t>FA-0709502</t>
  </si>
  <si>
    <t>Trax</t>
  </si>
  <si>
    <t>73-101801</t>
  </si>
  <si>
    <t>Solder: FAILED ANALOG TEST*3</t>
  </si>
  <si>
    <t>1. ME tightened PIN height detection from 0.3 mm to 0.2 mm, with abnormal materials rejected. 2. Used AOI defect images to retrain visual inspectors.</t>
  </si>
  <si>
    <t>WK13 Q1FY26</t>
  </si>
  <si>
    <t>PPR REPORT _ FVN IOTBU.xlsx | ICT Action Tracking | row 11</t>
  </si>
  <si>
    <t>RFA-000038</t>
  </si>
  <si>
    <t>Root cause: CR45/CR47: OPEN SOLDER 1.CR45/CR47 are transistor components, P/N 13-0687-02, with Qt'y of 2pcs 2. Inspection of the defective unit found a open solder caused by a single non-coplanar PIN. 3. ME confirmed no risk of d...</t>
  </si>
  <si>
    <t>Quarter-end sort date: 2025-10-25; Manufacturer site from report context.; Parent Failed Qty used because this is the group's only populated issue.</t>
  </si>
  <si>
    <t>TTM291200FH</t>
  </si>
  <si>
    <t>Operator error. Incorrect console cable used.</t>
  </si>
  <si>
    <t>Remark the console cable to differentiate between AP2 and APC.</t>
  </si>
  <si>
    <t>Clarke  IE-9320-24P4S-A</t>
  </si>
  <si>
    <t>68-104015-02</t>
  </si>
  <si>
    <t>FDO2943J9BJ, FDO2943J91H, FDO2943J9DZ, FDO2943J94L</t>
  </si>
  <si>
    <t>SD card detected at beginning of test but failed due to missing SD card. Upon inspection SD card missing from unit. Insert SD card, retest</t>
  </si>
  <si>
    <t>RE-SEATED SD CARD</t>
  </si>
  <si>
    <t>C1131-8PLTEPWQ</t>
  </si>
  <si>
    <t>FVT2935L157</t>
  </si>
  <si>
    <t>FVT2904L5WQ</t>
  </si>
  <si>
    <t>FY2025 M06 W5</t>
  </si>
  <si>
    <t>FDO2811J1J9
FDO2811J1HS
FDO2811J0P9</t>
  </si>
  <si>
    <t>Operator does not perform connections properly.</t>
  </si>
  <si>
    <t>Feedback given to personnel to validate connections before saying yes to the test.</t>
  </si>
  <si>
    <t>C1131-8PLTEPWF</t>
  </si>
  <si>
    <t>FVT2851L0FX</t>
  </si>
  <si>
    <t>Pluggable interface module cannot be detected</t>
  </si>
  <si>
    <t xml:space="preserve">For pluggable interface module issues, reinstalling the module after retries and power cycling resolves the problem.
</t>
  </si>
  <si>
    <t>FY2025 M05 W4</t>
  </si>
  <si>
    <t>FVT2851L0E4</t>
  </si>
  <si>
    <t>C8500-20X6C (ACE)</t>
  </si>
  <si>
    <t>FOX2948PNW6</t>
  </si>
  <si>
    <t>The failure occurred when the power cable became disconnected during testing. The cable was not properly secured, and movement of the test rack caused the power connection to be interrupted.</t>
  </si>
  <si>
    <t>Train operators to strictly follow the work instructions and perform tasks carefully. Need to add WI  how to set up cable before test at test station</t>
  </si>
  <si>
    <t>FDO2820J4KB</t>
  </si>
  <si>
    <t>FA-0710018</t>
  </si>
  <si>
    <t>FDO2802J8BT
FDO2801J6L4
FDO2802J8G7
FDO2801J6Z7</t>
  </si>
  <si>
    <t>Hipot marks GND test &gt;100 mH due to communication error, validating possibility of hipot ping response with Cisco before testing.</t>
  </si>
  <si>
    <t>FDO2839J41F,FDO2826J0GK,FDO2826J0SF,FDO2826J0JB,FDO2826J0GH,FDO2826J0DT,FDO2822J04D,FDO2839J2UL</t>
  </si>
  <si>
    <t>Hipot equipment with damaged power supply</t>
  </si>
  <si>
    <t>Awaiting equipment change for start of quarter Juan V / Gerardo A.</t>
  </si>
  <si>
    <t>FVH2952LCKK, FVH2952L79Q, FVH2952LC9U, FVH2952LCR5</t>
  </si>
  <si>
    <t>INCORRECT_OPERATOR_RESPONSE reseated cable</t>
  </si>
  <si>
    <t>FLX282800Z8</t>
  </si>
  <si>
    <t xml:space="preserve">Implement a color code for the AC power cables in order to ensure </t>
  </si>
  <si>
    <t>FJC292211DY</t>
  </si>
  <si>
    <t>Ground was not connected correctly at hipot station.
Failure status: CND</t>
  </si>
  <si>
    <t>TE install clamp to ensure the ground contact.</t>
  </si>
  <si>
    <t>FVT2926L1GK</t>
  </si>
  <si>
    <t>FY2025 M12 W1</t>
  </si>
  <si>
    <t>73-19736-04</t>
  </si>
  <si>
    <t>FOX2835P1HA</t>
  </si>
  <si>
    <t>Unable to console, No lights on ports, fans making noise. A short circuit was found on the power converter control component caused by workmanship, which created the short circuit condition.</t>
  </si>
  <si>
    <t>Removal of the faulty device cleared the short circuit; the device and PCB were found to be normal afterward.</t>
  </si>
  <si>
    <t>FA-0814664</t>
  </si>
  <si>
    <t>FJC281314DM</t>
  </si>
  <si>
    <t>Production to ensure the door is perfectly closed.</t>
  </si>
  <si>
    <t>FJC2923191E</t>
  </si>
  <si>
    <t xml:space="preserve">Wrong SYSASSY process (workflow) causing incomplete process units </t>
  </si>
  <si>
    <t xml:space="preserve"> Minute meeting with production supervisor and production team, to follows correct process </t>
  </si>
  <si>
    <t>FJC290315PD</t>
  </si>
  <si>
    <t>IE-9320-26S2C-E</t>
  </si>
  <si>
    <t>68-103296-03</t>
  </si>
  <si>
    <t>FDO2831J6TS</t>
  </si>
  <si>
    <t>HW Fail - Other</t>
  </si>
  <si>
    <t>FA-0802192</t>
  </si>
  <si>
    <t>FDO2937J9B8, FDO2939JB88, FDO2941J099</t>
  </si>
  <si>
    <t>Unit failed due to test cables inserted wrong. Reseated cables correctly then retested in same cell.</t>
  </si>
  <si>
    <t>MORENO LITE IE-4010-16S12P</t>
  </si>
  <si>
    <t>68-6048-01</t>
  </si>
  <si>
    <t>TEST_SETUP_ISSUE DC power cable issue caused one PSU displayed BAD when show environment</t>
  </si>
  <si>
    <t>Re-placed DC cable and retest</t>
  </si>
  <si>
    <t>FLX283600Q2</t>
  </si>
  <si>
    <t>Unit not placed correctly in the station, need to be placed in the correct way to be detected by the RFID reader.</t>
  </si>
  <si>
    <t>Retraining to operator in the unit placement.
The SOP to clarify the unit is placed all the way in to the station.
Place a QA alert</t>
  </si>
  <si>
    <t>FLX28280059</t>
  </si>
  <si>
    <t>Optical modules not placed in the correct slot inducing the failures.</t>
  </si>
  <si>
    <t>Retraining was performed to show the operators the correct placement of the modules.</t>
  </si>
  <si>
    <t>C1131-8PWB</t>
  </si>
  <si>
    <t>FVT2922L7CS</t>
  </si>
  <si>
    <t>sticker residue in the hole of the panel sticker reset key. When checking the reset key, the station employee accidentally pushed the residue into the machine. The residue pressed against the reset key.</t>
  </si>
  <si>
    <t>Production line employees must check and remove any residue from the sticker reset key hole before panel assembly to prevent interference.</t>
  </si>
  <si>
    <t>IE-9320-24P4X-A</t>
  </si>
  <si>
    <t>68-104013-02</t>
  </si>
  <si>
    <t>FDO2823J64P</t>
  </si>
  <si>
    <t>FA-0728774</t>
  </si>
  <si>
    <t>C1100TG-1N32A</t>
  </si>
  <si>
    <t>FJC29041DJ5</t>
  </si>
  <si>
    <t>Communication issues in fans due bad connections.</t>
  </si>
  <si>
    <t>Retraining the personnel regarding the fan placement if the memories in the ASSY process.</t>
  </si>
  <si>
    <t>73-101291</t>
  </si>
  <si>
    <t>Solder: component misalignment &amp; insufficient solder</t>
  </si>
  <si>
    <t>trained operator. QE and PE conduct online aduits for the operators twice a week. Check the smoothness of the track flow board to avoid touching the edge component when push the board.</t>
  </si>
  <si>
    <t>WK10 Q1FY25</t>
  </si>
  <si>
    <t>PPR REPORT _ FVN IOTBU.xlsx | ICT Action Tracking | row 2</t>
  </si>
  <si>
    <t>RFA-000011</t>
  </si>
  <si>
    <t>Root cause: 1.This is a LED at board edge of bottom side with the component misalignment and insufficient solder issue, AOI covered but skipped by OP. 2.Check the AOI image showed that the solder paste of the component has been t...</t>
  </si>
  <si>
    <t>Quarter-end sort date: 2024-10-26; Manufacturer site from report context.; Parent Failed Qty used because this is the group's only populated issue.</t>
  </si>
  <si>
    <t>TTM290400QD</t>
  </si>
  <si>
    <t>FOX2945PWPZ</t>
  </si>
  <si>
    <t>A broken chassis-side fan-tray connector could not lock the fan tray, so the system detected a missing fan tray and repeatedly rebooted.</t>
  </si>
  <si>
    <t>Repair or replace the broken connector/chassis assembly and pursue manufacturing corrective action for the workmanship defect.</t>
  </si>
  <si>
    <t>FA-0922815</t>
  </si>
  <si>
    <t>C8500-12X; CAT8500 Ramones</t>
  </si>
  <si>
    <t>15-104975-04</t>
  </si>
  <si>
    <t>FCB2813S03E
FCB2813S049</t>
  </si>
  <si>
    <t>Factory-caused issue under review: Built with mixed AVL on CPN: 15-104975-04. Impacted work order</t>
  </si>
  <si>
    <t>prevent mixed AVL per detail in PCAMAP for SRGBU / WNBU. No units escaped</t>
  </si>
  <si>
    <t>SCQO REPORT 01-01-24 to 07-21-26.xlsx | Sheet1 | row 104</t>
  </si>
  <si>
    <t>APD-1110</t>
  </si>
  <si>
    <t>RFA-000009</t>
  </si>
  <si>
    <t>Source mode: EMS Partner/BTS:Man; Root-cause code: EMS Partner/BTS(No/Inadequate Communication); Root cause: What?: Ramones built with mixed AVL (Samsung + Micron) issue, which cannot have mixed AVL. PIDs impacted: C8500-12X (Ramones) QTY impacted: 2 boards / 56 boards (Failure rate 3.57%) CPN: 15-104975-04; &lt;br/&gt;@[email-red...</t>
  </si>
  <si>
    <t>Failed units derived from one clearly labeled SCQO narrative quantity.; Total units derived from one clearly labeled SCQO narrative quantity.; Source provides manufacturer but no approved site.</t>
  </si>
  <si>
    <t>FLX2820018R</t>
  </si>
  <si>
    <t>Operator error. Fugazi failed : CARD BOOT UP CHECK
Unit Fail : Wrong cable</t>
  </si>
  <si>
    <t>-Under add step pre sequnce check power
-Need more detail which cable number and which cell number operator pluged. Done</t>
  </si>
  <si>
    <t>C1131X-8PLTEPWB</t>
  </si>
  <si>
    <t>FVT2925L7LD
FVT2925L7NE</t>
  </si>
  <si>
    <t>73-19739-02</t>
  </si>
  <si>
    <t>FOX2811P83D, FOX2805P5J7</t>
  </si>
  <si>
    <t>Improper connector seating tool design causing lifted connector pins and unstable connection</t>
  </si>
  <si>
    <t>Replace seating tool; create new work instructions and tooling design guidelines</t>
  </si>
  <si>
    <t>5/27/2024; 6/20/2024</t>
  </si>
  <si>
    <t>CE-1514</t>
  </si>
  <si>
    <t>FDO2814J04K
FDO2813J7HG</t>
  </si>
  <si>
    <t xml:space="preserve">Error responding to temporary replacement of supervisor for key reinstallation. </t>
  </si>
  <si>
    <t>Personnel given feedback not to respond to test prompts and notify tech.</t>
  </si>
  <si>
    <t>FJC28111FC8</t>
  </si>
  <si>
    <t>NIM-4FXO have 2 serial numbers, one in top, one in bottom, operators are scanning the wrong one.</t>
  </si>
  <si>
    <t>Retraining the personnel about the NIM scanning.</t>
  </si>
  <si>
    <t>IE-9320-26S2C-A</t>
  </si>
  <si>
    <t>68-103721-03</t>
  </si>
  <si>
    <t>FDO2730J747</t>
  </si>
  <si>
    <t>FA-0777276</t>
  </si>
  <si>
    <t>Operator_Process</t>
  </si>
  <si>
    <t>MEM-C8500-16GB</t>
  </si>
  <si>
    <t>TTM2931001A</t>
  </si>
  <si>
    <t>ASSEMBLE GENEALOGY Wrong scanning DATA to the tester.
Operator scan DIMM SN instead of Parent SN</t>
  </si>
  <si>
    <t xml:space="preserve">Retrain operators to ensure they follow SOPs,  If operator scan wrong SN then test script allow to rescan correct SN. </t>
  </si>
  <si>
    <t>FDO2819J8UJ</t>
  </si>
  <si>
    <t>Network cable disconnected, software download blocked.</t>
  </si>
  <si>
    <t>Feedback given to personnel.</t>
  </si>
  <si>
    <t>FDO2824J808</t>
  </si>
  <si>
    <t>Operator ran the unit with emergency stop active.</t>
  </si>
  <si>
    <t>FDO2941J002, FDO2941J01B, FDO2937J98G, FDO2940J9G7</t>
  </si>
  <si>
    <t>Unit failed due to wrong cabling, Reseated cables correctly in ports then retested in same cell.</t>
  </si>
  <si>
    <t>RE-SEATED CABLE, RE-CONNECTED LOOSE CABLE</t>
  </si>
  <si>
    <t>FOX2802P49D</t>
  </si>
  <si>
    <t>Assembly issue, FAN, SSD, etc.</t>
  </si>
  <si>
    <t>68-102178</t>
  </si>
  <si>
    <t>Solder: TRAFFIC SPEED_1000_SIZE1518</t>
  </si>
  <si>
    <t>Conducted retraining for rework operators and VI operators</t>
  </si>
  <si>
    <t>WK12 Q3FY26</t>
  </si>
  <si>
    <t>PPR REPORT _ FVN IOTBU.xlsx | ETE Action Tracking | row 176</t>
  </si>
  <si>
    <t>RFA-000048</t>
  </si>
  <si>
    <t>Source mode: OP; Root cause: 1. Visual checked, solder bridge was found on circular connector (29-101015-01) 2. The OP's touch-up was not done well</t>
  </si>
  <si>
    <t>Quarter-end sort date: 2026-04-25; Manufacturer site from report context.</t>
  </si>
  <si>
    <t>C8500L-8S4X=</t>
  </si>
  <si>
    <t>FLX290801W4
(SYSAPK)</t>
  </si>
  <si>
    <t>Swap traveler document . Incorrect SN scanned and didn't match traveler. SN of Chassis scanned instead of DIM SN</t>
  </si>
  <si>
    <t>Review and empazied OP must check traveler compare with acture chassis SN before performing SYSAPK
operator will confirm the SN identified on etraveller and actual unit before continue to scan the component information on etraveller during the auto send component data to SYSAPK</t>
  </si>
  <si>
    <t>FDO2829J481</t>
  </si>
  <si>
    <t>FA-0763573</t>
  </si>
  <si>
    <t xml:space="preserve"> C8500-12X=</t>
  </si>
  <si>
    <t>TTM291002RR, TTM291002RT</t>
  </si>
  <si>
    <t xml:space="preserve">Deviation label quantity mismatch and no foolproof (POKA-YOKE) process control at NCB for special builds. </t>
  </si>
  <si>
    <t>FJC293516G6, etc.</t>
  </si>
  <si>
    <t>Failure mode
Bad scanning in FST (incorrect cell scanned), actual failure (VG with problems on the board), missing image (image not available in SRM, requested from Cisco), poor assembly (inventory check failed, assembly or scan mismatch with order)."
Why the unit fail, power outrage.
Troubleshooting: TE review the test logs and found the issue.
Retest: pass</t>
  </si>
  <si>
    <t>Retrainning with the personal about these issues
Training and certifications in process.</t>
  </si>
  <si>
    <t>FJC28111DC0</t>
  </si>
  <si>
    <t>Wrong input from operator. Number of LED was not correct.
Failure status: CND</t>
  </si>
  <si>
    <t>C8500-20X6C
(ACE)</t>
  </si>
  <si>
    <t>FOX2946P4S7</t>
  </si>
  <si>
    <t>Equipment issue.The issue was caused by a damaged console cable, with internal damage found in the cable.</t>
  </si>
  <si>
    <t xml:space="preserve">The equipment was inspected, and the damaged LAN cable was replaced. Perform cable inspection using the equipment according to the Daily Maintenance Checklist, Form No. F-PE286-006 Rev.03 </t>
  </si>
  <si>
    <t>FJC30071GMK</t>
  </si>
  <si>
    <t>The operator was a mistake to wrong scanning the MB in SYSASSY</t>
  </si>
  <si>
    <t>According to meeting with the CFT team in the production floor, PE changed the scanning for the units. Now the operator should be scanning the SN of Chasssis</t>
  </si>
  <si>
    <t>STP29360CG9</t>
  </si>
  <si>
    <t xml:space="preserve">Ensure operator passed training, SOP and track operator EN.  Disable auto sending after each scanning. </t>
  </si>
  <si>
    <t>FLX293100PU</t>
  </si>
  <si>
    <t>Units incorrectly scanned in the system.</t>
  </si>
  <si>
    <t>Training and feeback for the personnel of the stations.
*Quality team will verify the CA and minute of the meeting to production supevisor with the operators.</t>
  </si>
  <si>
    <t>FJC28331C6S</t>
  </si>
  <si>
    <t>Retraining the personnel about the MB.
A process will be added to reseat the board 2 times to ensure electrical contact.
Test the use of superclean in this process.</t>
  </si>
  <si>
    <t>Retraining the personnel of third shift regarding the line (2) were the units can be tested.</t>
  </si>
  <si>
    <t>C1121-4P++</t>
  </si>
  <si>
    <t>FJC280517GX</t>
  </si>
  <si>
    <t>POE assembly, reseated and pass</t>
  </si>
  <si>
    <t>Retraining the personnel regarding the POE placement in the ASSY process.</t>
  </si>
  <si>
    <t>C8300-UCPE-1N20</t>
  </si>
  <si>
    <t>FJC29051JLR</t>
  </si>
  <si>
    <t xml:space="preserve">Scanning issue in SYSASSY that was detected in SYSPB.
</t>
  </si>
  <si>
    <t>Issue was reviewed in the production meetings, issue in only one unit.</t>
  </si>
  <si>
    <t>C8235-G2</t>
  </si>
  <si>
    <t>FJC301411BP</t>
  </si>
  <si>
    <t>The unit was not correctly placed in the RFID station.</t>
  </si>
  <si>
    <t>The unit was correctly positioned by the operator after the problem and successfully passed the RFID path
Also the production supervisor make meeting with the personnel of production to explain the issue</t>
  </si>
  <si>
    <t>FJC29241P2W</t>
  </si>
  <si>
    <t>Wrong input from operator. They does not consult the TE to review the prompt.</t>
  </si>
  <si>
    <t>Retraining to operators the prompts</t>
  </si>
  <si>
    <t>Solder: TRAFFIC SPEED_100_SIZE512</t>
  </si>
  <si>
    <t>PPR REPORT _ FVN IOTBU.xlsx | ETE Action Tracking | row 175</t>
  </si>
  <si>
    <t>RFA-000047</t>
  </si>
  <si>
    <t>FJC29261NUJ</t>
  </si>
  <si>
    <t xml:space="preserve">25 failures were caused by RFID service.
The remaining were due to poor assembly processes (MC-PC).
</t>
  </si>
  <si>
    <t>RFID Service is monitored and retraining to operator about the assembly process in MC-PC</t>
  </si>
  <si>
    <t>C9800-L-F-K9; Katar</t>
  </si>
  <si>
    <t>Retested</t>
  </si>
  <si>
    <t xml:space="preserve">Units incorrectly placed in RFID box
Troubleshooting: TE review the test logs and found the issue. RETEST: pass after retest. </t>
  </si>
  <si>
    <t xml:space="preserve">Retraining to operator </t>
  </si>
  <si>
    <t xml:space="preserve">Caused by assemble steps of the heater, operator  pre-press gap filler which caused tensile load  on lead wire and sleeve. </t>
  </si>
  <si>
    <t>Trained operator and update SOP. Create a fixture to assist the operator during assembly</t>
  </si>
  <si>
    <t>C8475-G2</t>
  </si>
  <si>
    <t>73-20684-08</t>
  </si>
  <si>
    <t>FLM2948115H</t>
  </si>
  <si>
    <t>USB C port unable to plug in:workmansip defect causing misalignment due to a bowed PCBA edge and improperly seated screw.</t>
  </si>
  <si>
    <t xml:space="preserve"> Root cause isolated; corrective action pursued with component suppliers.</t>
  </si>
  <si>
    <t>FA-0890488</t>
  </si>
  <si>
    <t>TTM280700ZT</t>
  </si>
  <si>
    <t>TE add a prompt with password in order ensure the TE technician can review the unit prior any manipulation.</t>
  </si>
  <si>
    <t>FOX2826P6UK</t>
  </si>
  <si>
    <t>A solder hot-tear/internal connection defect at Serial Atris U1_S4_P3, confirmed by dye penetration, caused high-temperature diagnostic failure and unexpected reloads.</t>
  </si>
  <si>
    <t>Document the Dye &amp; Pry result, close the case as fault isolated, and scrap the board.</t>
  </si>
  <si>
    <t>FA-0828888</t>
  </si>
  <si>
    <t>C1121-8P++</t>
  </si>
  <si>
    <t>FJC280712ZP</t>
  </si>
  <si>
    <t>FDO2813J7HU
FDO2813J0JT
FDO2813J671</t>
  </si>
  <si>
    <t>A decrease pressure detected, Line pressure generated outside air volume parameter range (48 to 56 PSI).</t>
  </si>
  <si>
    <t>TTM2928007N</t>
  </si>
  <si>
    <t>Operator tested units on the wrong machine.</t>
  </si>
  <si>
    <t>Training and feedback for new personnel of Production
Pending meeting and delivery by 3rd shift / Pending of verify per Quality team</t>
  </si>
  <si>
    <t>FOX2835P1RA</t>
  </si>
  <si>
    <t>The chassis was scratched before delivery, creating a cosmetic workmanship defect although the unit remained functional.</t>
  </si>
  <si>
    <t>Close as fault isolated and follow up with the manufacturing site for corrective action.</t>
  </si>
  <si>
    <t>FA-0826669</t>
  </si>
  <si>
    <t>FJC28511325</t>
  </si>
  <si>
    <t>Monitor production process</t>
  </si>
  <si>
    <t>C8500-20X6C</t>
  </si>
  <si>
    <t>FOX2812PCK4</t>
  </si>
  <si>
    <t>Operator not open grad cover Check unit found gard cover block air flow front unit. Unit Fail due to high temp</t>
  </si>
  <si>
    <t>- Add visual aid to SYSFT station.
-Update work instruction.Done</t>
  </si>
  <si>
    <t>FJC291218WB</t>
  </si>
  <si>
    <t>Tester</t>
  </si>
  <si>
    <t>FLX284502A8,
FLX2845028N,
FLX28450296,
FLX284502AG,
FLX2845028V,
FLX284502A2,
FLX284502AF</t>
  </si>
  <si>
    <t>Use wrong test scripts. TE convert the tester to support Encore Accolate. Production don't aware on this and load the unit to the tester cause this failure.</t>
  </si>
  <si>
    <t>Use wrong scripts to test
-Short term, TE setup the new tester and identified for NPI.
-Long term, Separate tester for NPI and not allow sharing the tester with production.
-Provide the RCCA to Cisco.</t>
  </si>
  <si>
    <t>FJC292718NN</t>
  </si>
  <si>
    <t>Tabei M FAI, discharged to RFID, APC ISR with fault AND units misplaced in RFID box</t>
  </si>
  <si>
    <t xml:space="preserve">Reset ISR due to failure and spoke with production supervisor </t>
  </si>
  <si>
    <t>HEATER TEST LTHV failure due to MFG heater assembly variation.  Improve thermal pad placement for heater assembly.</t>
  </si>
  <si>
    <t>PE to update the SOP by adding the heating step and clearly defining the thermal pad location.</t>
  </si>
  <si>
    <t>FVH2950L6A9, FVH2950L66G, FVH2950L23P, FVH2950L43X, FVH2950L3MX, FVH2950L3V7, FVH2950L3W9</t>
  </si>
  <si>
    <t>INCORRECT_OPERATOR_RESPONSE inserted MicroUSB unproferly/ fixed</t>
  </si>
  <si>
    <t>IR8140H-K9; Cabo</t>
  </si>
  <si>
    <t>No or improper process control causing multiple assembly and installation issues</t>
  </si>
  <si>
    <t>Adjust and correct current process and inspection; implement new process improvements; PFMEA completed</t>
  </si>
  <si>
    <t>APD-1097</t>
  </si>
  <si>
    <t>UCS-E160S-M3/K9=</t>
  </si>
  <si>
    <t>FOC2829384W</t>
  </si>
  <si>
    <t>1.- DIMM is not connected properly. Is hard for to operator to press the DIMM in the slot.
2.- Wrong connection of data cable. looks connected but is not placed flush in to slot.
Script can not be modified to prompt operator about connections since the script of the Barney area is not being updated since 2022. There is not prod opp team assigned to this area, the script development need to be done locally.</t>
  </si>
  <si>
    <t>1.- PE provide a tool to place the DIMM. Review the fixture in the process on W13.
2.- Review the possibility to update the script of the Barney area. Damian to review with Ray Lam.
3.- Provide a sample to debug in next quarter.
4.- TE will validate the script after Q-end.
5.- Develop a FAI for low runners, at this moment is identified: Wanlan, APP, ENCS, VG420.
6.- Ensure the personnel on all shifts are trained and use the UMT account.</t>
  </si>
  <si>
    <t>TTM282000WK TTM281500LK TTM281500GD</t>
  </si>
  <si>
    <t>Defected component NCB DF Site caution label print error. Customer Reported escalation.</t>
  </si>
  <si>
    <t>8D report completed and replacement POD labels prepared</t>
  </si>
  <si>
    <t>CE-1400</t>
  </si>
  <si>
    <t>Approx</t>
  </si>
  <si>
    <t>Aventus IR1833-K9</t>
  </si>
  <si>
    <t>68-102699</t>
  </si>
  <si>
    <t>The MB board cookie data programed wrong at ICT station. ICT engineer selected wrong program from the local computer instead of the server when they test the work order tail products.</t>
  </si>
  <si>
    <t>Train ICT engineer to check the program name, version and the actual cookie content before programming. Promptly remove the outdated programs from their local computer and to download the program from the server</t>
  </si>
  <si>
    <t>WK7 Q1FY26</t>
  </si>
  <si>
    <t>NIM-LTEA-LA=</t>
  </si>
  <si>
    <t>FOC2904033Q</t>
  </si>
  <si>
    <t>NIM was not scanned in the correct slot induced the failure.</t>
  </si>
  <si>
    <t>Retraining in the Barney area related to scanning, this was an issue of one load</t>
  </si>
  <si>
    <t>FJC291814A5</t>
  </si>
  <si>
    <t>TE add a regex in the script to eliminate scanning errors.</t>
  </si>
  <si>
    <t>NIM-LTEA-EA=</t>
  </si>
  <si>
    <t>FOC29040FY7</t>
  </si>
  <si>
    <t>1.- Units not inserted flush in the slot, captive screw need to be thigten.
2.- Golden chassis have 3 slots, units need to be started almost at the same time.</t>
  </si>
  <si>
    <t>1.- implement the use of an electric screw driver to tight the captive screw.
2.- Operators were informed to start the slots at the same time.</t>
  </si>
  <si>
    <t>Clarke Phase 2</t>
  </si>
  <si>
    <t>68-103807-01</t>
  </si>
  <si>
    <t>FDO300706LT; FDO3007J71B</t>
  </si>
  <si>
    <t>RETEST_NO_DEBUG, TST_ACCESSORIES_MALFUNCTION, WORKMANSHIP, WORKMANSHIP
Defect identified in PCBST</t>
  </si>
  <si>
    <t>N/A BonePile</t>
  </si>
  <si>
    <t>PPR REPORT _ FDO IOTBU | BonePile Details</t>
  </si>
  <si>
    <t>C-SM-16P4M2X=</t>
  </si>
  <si>
    <t>FOC281629Q0</t>
  </si>
  <si>
    <t>Connector J3 was physically damaged, preventing the module from connecting to the motherboard.</t>
  </si>
  <si>
    <t>Replace connector J3 and send the case to B&amp;T for follow-up.</t>
  </si>
  <si>
    <t>FA-0711419</t>
  </si>
  <si>
    <t>FDO2939J80H</t>
  </si>
  <si>
    <t>FDO2938J1HP</t>
  </si>
  <si>
    <t>FJC28381A8P</t>
  </si>
  <si>
    <t>Unit does not download an image due a bad cable connection.</t>
  </si>
  <si>
    <t>Retraining the personnel in the connection of the cables.
UMT account, open a case today (9/27) to correct the email account. To start test on 10/04.</t>
  </si>
  <si>
    <t>Trax IE-3400H-16FT-A</t>
  </si>
  <si>
    <t>68-102248</t>
  </si>
  <si>
    <t>The operator failed to fully install the power cable due to ware, 6pcs. Causing the unit cannot boot rommon.</t>
  </si>
  <si>
    <t>TE replaced any faulty or worn power cables.</t>
  </si>
  <si>
    <t>WK4 Q1FY26</t>
  </si>
  <si>
    <t>TTM2842009S</t>
  </si>
  <si>
    <t>Operator Process</t>
  </si>
  <si>
    <t>C8570-G2</t>
  </si>
  <si>
    <t>(Encore)</t>
  </si>
  <si>
    <t>FCB3016D090
FCB3016D08W</t>
  </si>
  <si>
    <t>The failure was caused by incorrect genealogy data, resulting in the inability to verify the genealogy child.
This issue occurred due to an operator scanning an incorrect part number at the SYSRFIDENC station, leading to incorrect genealogy records.</t>
  </si>
  <si>
    <t xml:space="preserve">Revise WI-PE287013-002 and Re-training Operator to understand the good practice. It is recommended that CTE modify the test script to scan only the 800 part number. </t>
  </si>
  <si>
    <t>FDO2813J004</t>
  </si>
  <si>
    <t>Unit poorly connected, ground cable not connected.</t>
  </si>
  <si>
    <t>Feedback given to assembly to validate material in line.</t>
  </si>
  <si>
    <t>ISR1100X-6G</t>
  </si>
  <si>
    <t>FJC291913SR</t>
  </si>
  <si>
    <t>FOC29040FKC</t>
  </si>
  <si>
    <t>FOC28272W1F</t>
  </si>
  <si>
    <t>NIM was not connected flush in to golden chassis.</t>
  </si>
  <si>
    <t>Retraining to operator in NIM assembly.</t>
  </si>
  <si>
    <t>FJC29161JZM</t>
  </si>
  <si>
    <t>C9800-80-K9</t>
  </si>
  <si>
    <t>FOX2803P20W</t>
  </si>
  <si>
    <t>FOC285101KD</t>
  </si>
  <si>
    <t>NIM was no placed correctly.</t>
  </si>
  <si>
    <t>Retraining the personnel about the order configuration.</t>
  </si>
  <si>
    <t>FJC28131LM9</t>
  </si>
  <si>
    <t>Port FXS board assembly issue by operator.</t>
  </si>
  <si>
    <t>Retraining the personnel about the FXS boards.</t>
  </si>
  <si>
    <t>C8570-G2; C8500G</t>
  </si>
  <si>
    <t xml:space="preserve">Damage: The MCVT unit escape NCB DF processes </t>
  </si>
  <si>
    <t>Remarks reference GOLF#5372281-IT and detail the FITS system enhancement, including auto-lock and blocking at specific process steps.,@konlee:11/14:Root causes to the issue were isolated to:1. There is no proper guideline for build readiness including shop floor control system for Program Co. and the qualification team and, only one way communication via email.2. NCB PCBA and DF do not have a standardized process or linked shop floor system to identify and block qualification build units or special build units., @[email-redacted]:11/14: Root causes to the issue were isolated to: 1. There is no proper guideline for build readiness including shop floor control system for Program Co. and the qualification team and, only one way communication via email. 2. NCB PCBA and DF do not have a standardized process or linked shop floor system to identify and bl...</t>
  </si>
  <si>
    <t>SCQO REPORT 01-01-24 to 07-21-26.xlsx | Sheet1 | row 34</t>
  </si>
  <si>
    <t>APD-1141</t>
  </si>
  <si>
    <t>RFA-000039</t>
  </si>
  <si>
    <t>Source mode: EMS Partner/BTS:Method; Root-cause code: EMS Partner/BTS(No/Improper Process Control); Root cause: What?: The MCVT unit Encore C8570-G2 escaped NCB DF processes without Cisco approve [redacted] Product Name: C8570-G2 C8570-G2 TAN SN# FCB2941D02J 800-111373 01 SN# ASV2533005T Qty:1 unit.; &lt;br/&gt;@[email-re...</t>
  </si>
  <si>
    <t>FCB3022D06S
FCB3022D06T</t>
  </si>
  <si>
    <r>
      <t xml:space="preserve">The failure was caused by incorrect genealogy data, resulting in the inability to verify the genealogy child. This issue occurred because the operator scanned the wrong serial number at the SYSRFIDENC station.
Instead of scanning S/N: </t>
    </r>
    <r>
      <rPr>
        <b/>
        <sz val="11"/>
        <rFont val="Calibri"/>
        <family val="2"/>
        <scheme val="minor"/>
      </rPr>
      <t>FCB</t>
    </r>
    <r>
      <rPr>
        <sz val="11"/>
        <rFont val="Calibri"/>
        <family val="2"/>
        <scheme val="minor"/>
      </rPr>
      <t xml:space="preserve">3022D06S, the operator scanned S/N: </t>
    </r>
    <r>
      <rPr>
        <b/>
        <sz val="11"/>
        <rFont val="Calibri"/>
        <family val="2"/>
        <scheme val="minor"/>
      </rPr>
      <t>ASV</t>
    </r>
    <r>
      <rPr>
        <sz val="11"/>
        <rFont val="Calibri"/>
        <family val="2"/>
        <scheme val="minor"/>
      </rPr>
      <t>3011005H. As a result, incorrect genealogy information was recorded in the system.</t>
    </r>
  </si>
  <si>
    <t>CTE has modified the test script of SYSRFID station to allow to scan only Prefix FCB and ignore Prefix ASV.</t>
  </si>
  <si>
    <t>FJC29151R4R</t>
  </si>
  <si>
    <t>ISR1100-4G</t>
  </si>
  <si>
    <t>FJC281214AY</t>
  </si>
  <si>
    <t>Unit was aborted by operator.</t>
  </si>
  <si>
    <t>Retraining the personnel about the units abortion.</t>
  </si>
  <si>
    <t>FJC28061BNS</t>
  </si>
  <si>
    <t xml:space="preserve">Unit was not detecting module ISR-1100-POE4 since was not inserted flush in to slot.
</t>
  </si>
  <si>
    <t>ASR1009-X=</t>
  </si>
  <si>
    <t>FOX2816P93Z</t>
  </si>
  <si>
    <t>New operator did not insert blank card</t>
  </si>
  <si>
    <t>-Retraning new operator. Add pop-up checking to insert blank card and show VA
-Issue TR for short term action and also training.</t>
  </si>
  <si>
    <t>ISR1100X-4G</t>
  </si>
  <si>
    <t>FJC28311L3Y</t>
  </si>
  <si>
    <t xml:space="preserve">The units are normally tested by AP3 and were tested by AP2. Causing the failure
Troubleshooting: TE review the test logs and found the issue. RETEST: pass after retest. </t>
  </si>
  <si>
    <t>That PID will be removed from the AP2 configuration so that they cannot test that model and it will only be tested by AP3.</t>
  </si>
  <si>
    <t>FJC28191B4M</t>
  </si>
  <si>
    <t>Cable RJ45 disconnected.
Failure status: CND</t>
  </si>
  <si>
    <t>Operators were retrained in this station.</t>
  </si>
  <si>
    <t>FJC30091NK4</t>
  </si>
  <si>
    <t>Wrong scanning in assembly line</t>
  </si>
  <si>
    <t>Under analisys</t>
  </si>
  <si>
    <t>VG410-24FXS/4FXO</t>
  </si>
  <si>
    <t>FJC292311BT</t>
  </si>
  <si>
    <t>TTM2807007F</t>
  </si>
  <si>
    <t>assembly issue, FAN, SSD, etc.</t>
  </si>
  <si>
    <t>FDO2939J9UP, FDO2939J9GS, FDO2939J9ZZ, FDO2939J9N1, FDO2939JBFB, FDO2939J92D, FDO2939JBF4, FDO2941J0T2</t>
  </si>
  <si>
    <t>FJC28151LBX</t>
  </si>
  <si>
    <t>C8550-G2</t>
  </si>
  <si>
    <t>FJC30221HGG</t>
  </si>
  <si>
    <t>Incorrect scan: they scanned the serial number of a parent device instead of a memory module.</t>
  </si>
  <si>
    <t>(Accolade)</t>
  </si>
  <si>
    <t>FCB3022D050</t>
  </si>
  <si>
    <t>This issue occurred because the operator scanned the wrong serial number at the SYSRFIDENC station therefore, incorrect genealogy information was recorded in the system. The failure was caused by incorrect genealogy data, resulting in the inability to verify the genealogy child.</t>
  </si>
  <si>
    <t>CTE has modified the test script of SYSRFID station to allow to scan only Prefix FCB and ignore Prefix ASV</t>
  </si>
  <si>
    <t>EPA-QSFP-1X100GE=</t>
  </si>
  <si>
    <t>FCB2938W029
FCB2938W00V
FCB2938W038
FCB2938W039</t>
  </si>
  <si>
    <t>Related genology of Gold board chassis.</t>
  </si>
  <si>
    <t>Clear all Goldboard chassis genology</t>
  </si>
  <si>
    <t>FJC28241F9V</t>
  </si>
  <si>
    <t>ISR4451-X-SEC/K9</t>
  </si>
  <si>
    <t>FJC28091BPP</t>
  </si>
  <si>
    <t xml:space="preserve">
FJC29321DF9</t>
  </si>
  <si>
    <t>Wrong handling incorrect in the process
Wrong Scanning of the components in ASSY</t>
  </si>
  <si>
    <t>Feedback was given to the operator by the production supervisor.</t>
  </si>
  <si>
    <t>FDO2813J62K
FDO2813J678</t>
  </si>
  <si>
    <t>Equipment with hose air leak.</t>
  </si>
  <si>
    <t>Provisional maintenance and repair while awaiting provider for general maintenance.</t>
  </si>
  <si>
    <t>FJC29391CFJ</t>
  </si>
  <si>
    <t>Wrong Assembly of HDD
assembled in SLOT 1 when it should have been assembled in SLOT 0</t>
  </si>
  <si>
    <t>Creating SOPs for correctly HDD assembly in SYSFT</t>
  </si>
  <si>
    <t xml:space="preserve">
C1161X-8P++</t>
  </si>
  <si>
    <t xml:space="preserve">
FJC2935189C</t>
  </si>
  <si>
    <t>Failure mode
Units with AC cable reversed or disconnected prematurely.
Why the unit fail, power outrage.
Troubleshooting: TE review the test logs and found the issue.
Retest: pass</t>
  </si>
  <si>
    <t>Retrainning with the personal with the connections of AC Cables
Training and certifications in process.</t>
  </si>
  <si>
    <t>FOX2813PHZM</t>
  </si>
  <si>
    <t>Operator error. Failed : POWER CYCLE
Unit Fail : Cable loose</t>
  </si>
  <si>
    <t>Review all tester and rewiring. QC has daily audit.</t>
  </si>
  <si>
    <t>FDO2819J2UH
FDO2819J2TT
FDO2824J84P
FDO2821J8NJ
FDO2825J017</t>
  </si>
  <si>
    <t>Hipot equipment shows intermittent input impedance failures during test; PSU failure.</t>
  </si>
  <si>
    <t>Awaiting to replace Hipot.</t>
  </si>
  <si>
    <t>ISR4451-X/K9</t>
  </si>
  <si>
    <t>FJC280613V5</t>
  </si>
  <si>
    <t>Unit was not detecting module SM-X-6X1G since was not inserted flush in to slot.</t>
  </si>
  <si>
    <t>FJC28311AAC</t>
  </si>
  <si>
    <t>FJC282117A1</t>
  </si>
  <si>
    <t>Retraining the personnel about the MB.
See</t>
  </si>
  <si>
    <t>FJC28081QWF</t>
  </si>
  <si>
    <t>FJC28321Z80</t>
  </si>
  <si>
    <t>FJC29241HD4</t>
  </si>
  <si>
    <t>FJC28191T7L</t>
  </si>
  <si>
    <t>FJC290915TL</t>
  </si>
  <si>
    <t>FJC28201D8P</t>
  </si>
  <si>
    <t>2MB board assembly issue by operator.</t>
  </si>
  <si>
    <t xml:space="preserve">Retraining the personnel about the 2MB assembly.
</t>
  </si>
  <si>
    <t>C1161X-8P++</t>
  </si>
  <si>
    <t>FJC28181PWT</t>
  </si>
  <si>
    <t>TTM290901BM</t>
  </si>
  <si>
    <t>Units tested in a wrong symbolic link.
Failure status: CND</t>
  </si>
  <si>
    <t>FJC302414KM</t>
  </si>
  <si>
    <t>Incorrect scan (they scanned the chassis serial number when it should have been the MB serial number)</t>
  </si>
  <si>
    <t>1. The production supervisor gave a feedback to operator of the failure
2. The production supervisor provide a feedback and re-training to all operators</t>
  </si>
  <si>
    <t>FJC28141DA1</t>
  </si>
  <si>
    <t xml:space="preserve">Port FXS board assembly issue by operator.
</t>
  </si>
  <si>
    <t>FJC29191M69</t>
  </si>
  <si>
    <t>Review if is possible to add an alert showing the incorrect mode was selected.
Start with the high runners in order to have a schedule for all PIDS, since is a PID by PID change.</t>
  </si>
  <si>
    <t>FJC29191P7F</t>
  </si>
  <si>
    <t>C8500-20X6C=
(ACE)</t>
  </si>
  <si>
    <t>FOX2945PWP3
FOX2942PKZX</t>
  </si>
  <si>
    <t xml:space="preserve">Short term : Add DIAG 1 pc per 1 cycling box
Long term: Add additional test stations to support ACE product testing, as the testing requires high current consumption beyond the capacity of the current setup. </t>
  </si>
  <si>
    <t xml:space="preserve">Clarke  IE-9320-24P4X-A </t>
  </si>
  <si>
    <t>FDO3006J6JB FDO3006J6DB FDO3004J2D4</t>
  </si>
  <si>
    <t>Operator removed the SD card too early</t>
  </si>
  <si>
    <t xml:space="preserve"> 68-103722-06</t>
  </si>
  <si>
    <t>FDO2938J817, FDO2938J7ZP, FDO2938J7UN</t>
  </si>
  <si>
    <t>IW9167EH-E-WGB</t>
  </si>
  <si>
    <t>74-128447-02</t>
  </si>
  <si>
    <t>KWC28340E0P</t>
  </si>
  <si>
    <t>FA-0760762</t>
  </si>
  <si>
    <t>KWC28340E18</t>
  </si>
  <si>
    <t>FA-0760760</t>
  </si>
  <si>
    <t>KWC28340E3K</t>
  </si>
  <si>
    <t>FA-0760761</t>
  </si>
  <si>
    <t xml:space="preserve">
REWORK-FJC</t>
  </si>
  <si>
    <t>They tried to reprint the label when the sysassy process had not yet finished.</t>
  </si>
  <si>
    <t>PVDM4-64=</t>
  </si>
  <si>
    <t>FOC2811003C</t>
  </si>
  <si>
    <t>PVDM assembly issue by operator.</t>
  </si>
  <si>
    <t>Retraining the personnel about the PVDM boards.</t>
  </si>
  <si>
    <t>FJC29181A1Q</t>
  </si>
  <si>
    <t>ISR1100-6G</t>
  </si>
  <si>
    <t>FJC28311REK</t>
  </si>
  <si>
    <t>Units were aborted by operator.</t>
  </si>
  <si>
    <t>FJC28241MAP</t>
  </si>
  <si>
    <t>Units tested in a wrong station since is not possible no know the NFVIS of the PO.</t>
  </si>
  <si>
    <t>Add to pre sequence the verification of the NFVIS.</t>
  </si>
  <si>
    <t>FJC30141KK2</t>
  </si>
  <si>
    <t>Production error due to incorrect MB scanning in SYSASSY</t>
  </si>
  <si>
    <t>73-14852-03; 4400ISR</t>
  </si>
  <si>
    <t>11-3250-01</t>
  </si>
  <si>
    <t xml:space="preserve">Mechanical: Panasonic capacitors EEEFK1K151AQ electrolyte leakage after SMT reflow. </t>
  </si>
  <si>
    <t>optimize SMT profile to meet supplier requirements. The actual reflow profile exceeded supplier recommendation, the duration of 160 is longer than the cap can stand</t>
  </si>
  <si>
    <t>FOL — Foxconn</t>
  </si>
  <si>
    <t>SCQO REPORT 01-01-24 to 07-21-26.xlsx | Sheet1 | row 88</t>
  </si>
  <si>
    <t>MY-1785</t>
  </si>
  <si>
    <t>RFA-000013</t>
  </si>
  <si>
    <t>Source mode: EMS Partner/BTS:Method; Root-cause code: EMS Partner/BTS(No/Wrong/Inadequate Documentation/Specification/Procedure/Work Instruction); Root cause: What?: FOL SRGBU found Panasonic capacitors electrolyte leakage after SMT reflow. Failure rate:100%(9/9). FOL built with the other supplier capacitors in same production line at the same time, but no same issue. Check...</t>
  </si>
  <si>
    <t>Failed units derived from one clearly labeled SCQO narrative quantity.; Competing labeled narrative total quantities: 9; 149; Source provides manufacturer but no approved site.; Total units unavailable; failure rate left blank.</t>
  </si>
  <si>
    <t>C8530-12X; CAT8530  Allocade</t>
  </si>
  <si>
    <t>Factory-caused issue: ICT EEPROM wrong programming.</t>
  </si>
  <si>
    <t>ICT program wrong EEPROM (Hardware Version) on MB. data difference had shown the result as 1 and highlighted as red cell, but Engineer was confused with CRCs row check.</t>
  </si>
  <si>
    <t>SCQO REPORT 01-01-24 to 07-21-26.xlsx | Sheet1 | row 66</t>
  </si>
  <si>
    <t>APD-1121</t>
  </si>
  <si>
    <t>RFA-000019</t>
  </si>
  <si>
    <t>Source mode: EMS Partner/BTS:Man; Root-cause code: EMS Partner/BTS(Human Error (mishandling, improper handling, fatigue/tired, etc.)); Root cause: What?: 1.SRGBU Accolade MB 73-21143-03 A0 ICT EEPROM wrong programming. 2. SRGBU Kahuna 73-16562-08_B0 missed 51pcs delivery commit due to ICT programming misses at blank IC PN 15-10378-02 refer DA No D601686.; &lt;br/&gt;@...</t>
  </si>
  <si>
    <t>C8231-E-G2</t>
  </si>
  <si>
    <t>FJC30071NZ1</t>
  </si>
  <si>
    <t>They reused board and cloud id already associated with the first parent.</t>
  </si>
  <si>
    <t>Clarke IE-9320-22S2C4X-E</t>
  </si>
  <si>
    <t>68-103191-05</t>
  </si>
  <si>
    <t>DF reported Clarke PID VID check fail issue, it's set 'V02' in Cisco Agile for latest EA617080, while it's 'V01' labelled and set for physical goods.</t>
  </si>
  <si>
    <t xml:space="preserve">Reworked at FDO. Cisco to update TANMAP to add VID info. </t>
  </si>
  <si>
    <t>ENCS5408/K9</t>
  </si>
  <si>
    <t>FJC29071GG4</t>
  </si>
  <si>
    <t>Cable RJ45 disconnected.</t>
  </si>
  <si>
    <t>Retrofit Failure Analysis - Run Summary</t>
  </si>
  <si>
    <t>Metric</t>
  </si>
  <si>
    <t>Value</t>
  </si>
  <si>
    <t>Run date</t>
  </si>
  <si>
    <t>2026-08-05</t>
  </si>
  <si>
    <t>Requested business units</t>
  </si>
  <si>
    <t>IOTBU, SRGBU, WNBU</t>
  </si>
  <si>
    <t>Requested date range</t>
  </si>
  <si>
    <t>2024-01-01 through 2026-07-31</t>
  </si>
  <si>
    <t>Present source types</t>
  </si>
  <si>
    <t>FA Case, PPR, SCQO</t>
  </si>
  <si>
    <t>Source rows read</t>
  </si>
  <si>
    <t>Normalized candidate rows</t>
  </si>
  <si>
    <t>High-confidence included records</t>
  </si>
  <si>
    <t>Excluded rows / logical records</t>
  </si>
  <si>
    <t>Review-only logical records</t>
  </si>
  <si>
    <t>Review decisions</t>
  </si>
  <si>
    <t>Exact-case duplicate rows combined</t>
  </si>
  <si>
    <t>Records using fiscal-quarter information</t>
  </si>
  <si>
    <t>Input Files and Detected Report Types</t>
  </si>
  <si>
    <t>Filename</t>
  </si>
  <si>
    <t>CodeEx Status</t>
  </si>
  <si>
    <t>Unsupported Sheets</t>
  </si>
  <si>
    <t>Review Queue</t>
  </si>
  <si>
    <t>Workmanship Results</t>
  </si>
  <si>
    <t>Processed</t>
  </si>
  <si>
    <t>Reviewed</t>
  </si>
  <si>
    <t>Complete</t>
  </si>
  <si>
    <t>Unprocessed</t>
  </si>
  <si>
    <t>PPR REPORT _ FVT SRGBU.xlsx</t>
  </si>
  <si>
    <t>PPR REPORT _ FOXCONN WNBU.xlsx</t>
  </si>
  <si>
    <t>PPR REPORT _ FVN IOTBU.xlsx</t>
  </si>
  <si>
    <t>SCQO REPORT 01-01-24 to 07-21-26.xlsx</t>
  </si>
  <si>
    <t>N/A</t>
  </si>
  <si>
    <t>PPR SRBGU WK2 Q1FY27 FJZ</t>
  </si>
  <si>
    <t>Workmanship (Y/N)</t>
  </si>
  <si>
    <t>Issue Type</t>
  </si>
  <si>
    <t>Proposed Failure Mode</t>
  </si>
  <si>
    <t>Proposed Failure Code</t>
  </si>
  <si>
    <t>Candidate Values</t>
  </si>
  <si>
    <t>Required Decision</t>
  </si>
  <si>
    <t>RFA-000092</t>
  </si>
  <si>
    <t>Record Eligibility / Missing Data</t>
  </si>
  <si>
    <t>Solder; Damage</t>
  </si>
  <si>
    <t>Unverified; Failed=1</t>
  </si>
  <si>
    <t>Source mode: Workmanship; Source code: Solder; Root-cause code: Fault Isolated; Root cause: Found the 0.9V MGT rail was not coming up to the proper voltage level. Output of the DMAU1 power convertor was not properly driven. Closer inspection identified that the BG2 pin (Pin 18) of the power controller was sh...</t>
  </si>
  <si>
    <t>FA CASE REPORT _ SRGBU FA Case Details 2.xlsx | input | row 1015</t>
  </si>
  <si>
    <t>Confirm the incident falls within 2024-01-01 through 2026-07-31.</t>
  </si>
  <si>
    <t>RFA-000093</t>
  </si>
  <si>
    <t>N</t>
  </si>
  <si>
    <t>FA-0815956</t>
  </si>
  <si>
    <t>Unverified; Failed=2</t>
  </si>
  <si>
    <t>Source mode: Non-Suspected bad HW; Source code: Not Received; Root-cause code: Fault Isolated; Root cause: 1. Dis-assemble the unit with manufacture engineer, found the inner plastic clips of the front panel at both ends damaged. The damage plastic clips remained in chassis. The FA case details and the golden unit diagram... | Source mode: Workmanship; Source code: Damage; Root-cause code: Fault Isolated; Root cause: 1. Dis-assemble the unit with manufacture engineer, found the inner plastic clips of the front panel at both ends damaged. The damage plastic clips remained in chassis. The FA case details and the golden unit diagram...</t>
  </si>
  <si>
    <t>FA CASE REPORT _ SRGBU FA Case Details 2.xlsx | input | row 1025; FA CASE REPORT _ SRGBU FA Case Details 2.xlsx | input | row 1073</t>
  </si>
  <si>
    <t>RFA-000094</t>
  </si>
  <si>
    <t>FA-0818387</t>
  </si>
  <si>
    <t>Source mode: Workmanship; Source code: Solder; Root-cause code: Fault Isolated; Root cause: 1. Disassemble the unit to perform visual inspection for the PCBA. Result: The PHY U2700 pin29 “VDDA_GE_B_2V5" and pin30 “GE_B_MDI3_P" have solder issue. Customer's problem could be isolated to workmanship issue. Invo... | Source mode: Non-Suspected bad HW; Source code: Not Received; Root-cause code: Fault Isolated; Root cause: 1. Disassemble the unit to perform visual inspection for the PCBA. Result: The PHY U2700 pin29 “VDDA_GE_B_2V5" and pin30 “GE_B_MDI3_P" have solder issue. Customer's problem could be isolated to workmanship issue. Invo...</t>
  </si>
  <si>
    <t>FA CASE REPORT _ SRGBU FA Case Details 2.xlsx | input | row 1027; FA CASE REPORT _ SRGBU FA Case Details 2.xlsx | input | row 1037</t>
  </si>
  <si>
    <t>RFA-000095</t>
  </si>
  <si>
    <t>FA-0812961</t>
  </si>
  <si>
    <t>Source mode: Workmanship; Source code: Re-Seat; Root-cause code: Fault Isolated; Root cause: 1. Reseat RAM/Memory stick Result: The unit powered on and booted up but no valid image found. Log attached: FA-0812961_First_boot.log 2. Set Boot Result: Using pen drive install IOS v17.06.06a, the unit booted up suc...</t>
  </si>
  <si>
    <t>FA CASE REPORT _ SRGBU FA Case Details 2.xlsx | input | row 1029</t>
  </si>
  <si>
    <t>RFA-000096</t>
  </si>
  <si>
    <t>FA-0816699</t>
  </si>
  <si>
    <t>Source mode: Workmanship; Source code: Re-Seat; Root-cause code: Fault Isolated; Root cause: 1. Verified the DIMM card, and based on cesium, confirm it is the original DIMM. 2. Upon de-combo, observe that the DIMM card is fully inserted. However, based on the failure logs, I attempted to re-insert the DIMM. A...</t>
  </si>
  <si>
    <t>FA CASE REPORT _ SRGBU FA Case Details 2.xlsx | input | row 1031</t>
  </si>
  <si>
    <t>RFA-000097</t>
  </si>
  <si>
    <t>FA-0811972</t>
  </si>
  <si>
    <t>Cosmetic; Missing Component / Part</t>
  </si>
  <si>
    <t>Source mode: Workmanship; Source code: Cosmetic; Root-cause code: Fault Isolated; Root cause: 1, Visually inspect the appearance of received units. Result: The 54V DC Connector is defective, A terminal in the connector is missing. 2. Power on device and try to boot up ROS. Result: Power on and boot up ROS succ...</t>
  </si>
  <si>
    <t>FA CASE REPORT _ SRGBU FA Case Details 2.xlsx | input | row 1059</t>
  </si>
  <si>
    <t>RFA-000098</t>
  </si>
  <si>
    <t>Source mode: Workmanship; Source code: Re-Seat; Root-cause code: Fault Isolated; Root cause: 1. Took photos by digital microscope and found misalignment on Fo0/2/0, Fo0/2/4 and Fo0/2/8. Their location was lower than known good port. 2. Upon de-combo, We observed the cover of J1PE1,J1PE2 and J1PE3 was not full...</t>
  </si>
  <si>
    <t>FA CASE REPORT _ SRGBU FA Case Details 2.xlsx | input | row 1068</t>
  </si>
  <si>
    <t>RFA-000099</t>
  </si>
  <si>
    <t>Source mode: Workmanship; Source code: Damage; Root-cause code: Fault Isolated; Root cause: 1. Dis-assemble the unit with manufacture engineer, found the inner plastic clips of the front panel at both ends damaged. The damage plastic clips remained in chassis. The FA case details and the golden unit diagram... | Source mode: Non-Suspected bad HW; Source code: Not Received; Root-cause code: Fault Isolated; Root cause: 1. Dis-assemble the unit with manufacture engineer, found the inner plastic clips of the front panel at both ends damaged. The damage plastic clips remained in chassis. The FA case details and the golden unit diagram...</t>
  </si>
  <si>
    <t>FA CASE REPORT _ SRGBU FA Case Details 2.xlsx | input | row 1074; FA CASE REPORT _ SRGBU FA Case Details 2.xlsx | input | row 1092</t>
  </si>
  <si>
    <t>RFA-000058</t>
  </si>
  <si>
    <t>FA-0702332</t>
  </si>
  <si>
    <t>Unverified; Failed=3</t>
  </si>
  <si>
    <t>Source mode: Non-Suspected bad HW; Source code: Not Received; Root-cause code: Fault Isolated; Root cause: Problem Details: Good day, We have an IR1821-K9 that no power up, no shows messages from console port and has not activity. 1.- Initially, a visual inspection was carried out to verify the unit status, but the unit ha... | Source mode: Can Not Duplicate; Source code: CND; Root-cause code: Fault Isolated | Source mode: Workmanship; Source code: Open/Short Circuit (Non-Solder); Root-cause code: Fault Isolated</t>
  </si>
  <si>
    <t>FA CASE REPORT _ SRGBU FA Case Details 2.xlsx | input | row 111; FA CASE REPORT _ SRGBU FA Case Details 2.xlsx | input | row 112; FA CASE REPORT _IOT FA Case Details.xlsx | FA Details | row 15; FA CASE REPORT _IOT FA Case Details.xlsx | FA Details | row 257</t>
  </si>
  <si>
    <t>Confirm the incident falls within 2024-01-01 through 2026-07-31. Resolve the conflicting Business Unit values.</t>
  </si>
  <si>
    <t>RFA-000100</t>
  </si>
  <si>
    <t>Source mode: Workmanship; Source code: Damage; Root-cause code: Fault Isolated; Root cause: 1. Dis-assemble the unit with manufacture engineer, found the inner plastic clips of the rear panel at both ends were damaged. The damaged plastic clips remained in chassis. The FA case details and the golden unit dia... | Source mode: Non-Suspected bad HW; Source code: Not Received; Root-cause code: Fault Isolated; Root cause: 1. Dis-assemble the unit with manufacture engineer, found the inner plastic clips of the rear panel at both ends were damaged. The damaged plastic clips remained in chassis. The FA case details and the golden unit dia...</t>
  </si>
  <si>
    <t>FA CASE REPORT _ SRGBU FA Case Details 2.xlsx | input | row 1126; FA CASE REPORT _ SRGBU FA Case Details 2.xlsx | input | row 1175; FA CASE REPORT _ SRGBU FA Case Details 2.xlsx | input | row 1176; FA CASE REPORT _ SRGBU FA Case Details 2.xlsx | input | row 1177</t>
  </si>
  <si>
    <t>Select a supported Failure Code. Confirm the incident falls within 2024-01-01 through 2026-07-31.</t>
  </si>
  <si>
    <t>RFA-000101</t>
  </si>
  <si>
    <t>FA-0893685</t>
  </si>
  <si>
    <t>Solder Reflow</t>
  </si>
  <si>
    <t>Source mode: Workmanship; Source code: Solder Reflow; Root-cause code: Fault Isolated; Root cause: 1) Verify unit SWOP Method EUC Board Condition A: FA Chassis with KG EUC Board Condition B: KG Chassss with FA EUC Board then perform Diag test Condition A: Result is Passed Condition B: Failed \\\ COMP0053/pyonmped/2...</t>
  </si>
  <si>
    <t>FA CASE REPORT _ SRGBU FA Case Details 2.xlsx | input | row 1131</t>
  </si>
  <si>
    <t>RFA-000102</t>
  </si>
  <si>
    <t>FA-0886995</t>
  </si>
  <si>
    <t>Re-Seat; Damage</t>
  </si>
  <si>
    <t>Source mode: Can Not Duplicate; Source code: CND Unknown Root Cause; Root-cause code: Fault Isolated; Root cause: FLX294103DR. 2) Rootcause identification 2.1) Check boot up test Result: Failed, No console suspect issue from DIMM RAM POST (Power‑On Self Test) [ in process boot up CPU Need to use DIMM RAM for load bios ] 2.2) Insp... | Source mode: Non-Suspected bad HW; Source code: Not Received; Root-cause code: Fault Isolated; Root cause: FLX294103DR. 2) Rootcause identification 2.1) Check boot up test Result: Failed, No console suspect issue from DIMM RAM POST (Power‑On Self Test) [ in process boot up CPU Need to use DIMM RAM for load bios ] 2.2) Insp...</t>
  </si>
  <si>
    <t>FA CASE REPORT _ SRGBU FA Case Details 2.xlsx | input | row 1171; FA CASE REPORT _ SRGBU FA Case Details 2.xlsx | input | row 1172; FA CASE REPORT _ SRGBU FA Case Details 2.xlsx | input | row 1182; FA CASE REPORT _ SRGBU FA Case Details 2.xlsx | input | row 1292</t>
  </si>
  <si>
    <t>RFA-000103</t>
  </si>
  <si>
    <t>FA-0884684</t>
  </si>
  <si>
    <t>Source mode: Non-Suspected bad HW; Source code: Not Received; Root-cause code: Fault Isolated; Root cause: Rootcause idenfication 1) Inspection Port J1_GE Result: Found Port J1_GE is melted 2) PCB Visual Inspection: Inspection at J1_GE Result: around J1_GE Port have flux stain 3) Component Inspection: Inspection at J1_GE R... | Source mode: Workmanship; Source code: Mechanical; Root-cause code: Fault Isolated; Root cause: Rootcause idenfication 1) Inspection Port J1_GE Result: Found Port J1_GE is melted 2) PCB Visual Inspection: Inspection at J1_GE Result: around J1_GE Port have flux stain 3) Component Inspection: Inspection at J1_GE R...</t>
  </si>
  <si>
    <t>FA CASE REPORT _ SRGBU FA Case Details 2.xlsx | input | row 1192; FA CASE REPORT _ SRGBU FA Case Details 2.xlsx | input | row 1215; FA CASE REPORT _ SRGBU FA Case Details 2.xlsx | input | row 1216</t>
  </si>
  <si>
    <t>RFA-000104</t>
  </si>
  <si>
    <t>Source mode: Workmanship; Source code: Mechanical; Root-cause code: Fault Isolated; Root cause: Removed all screws and re-positioned the motherboard by pushing it all the way to the I/O faceplate. Re-installed all screws and the USB-C port can be aligned to the I/O cutout.</t>
  </si>
  <si>
    <t>FA CASE REPORT _ SRGBU FA Case Details 2.xlsx | input | row 1204</t>
  </si>
  <si>
    <t>RFA-000105</t>
  </si>
  <si>
    <t>Wrong Component/Part</t>
  </si>
  <si>
    <t>Source mode: Workmanship; Source code: Wrong Component / Part; Root-cause code: Fault Isolated; Root cause: 1. Check MFG test failed record and repaired record before shipping. Result: No found test failed record and repaired record. Visual inspection found the carton SN(FVT2939L2NA) mismatch with device's actual SN(FVT2939... | Source mode: Non-Suspected bad HW; Source code: Not Received; Root-cause code: Fault Isolated; Root cause: 1. Check MFG test failed record and repaired record before shipping. Result: No found test failed record and repaired record. Visual inspection found the carton SN(FVT2939L2NA) mismatch with device's actual SN(FVT2939...</t>
  </si>
  <si>
    <t>FA CASE REPORT _ SRGBU FA Case Details 2.xlsx | input | row 1220;</t>
  </si>
  <si>
    <t>RFA-000106</t>
  </si>
  <si>
    <t>FA-0873680</t>
  </si>
  <si>
    <t>Wrong SW Configuration at Factory</t>
  </si>
  <si>
    <t>Source mode: Workmanship; Source code: Wrong SW installed or Configuration made at Factory; Root-cause code: Fault Isolated; Root cause: 1. Check the manufacturing part number MPN for KGB: THGBMJG8C2LBAIL MPN for FA: THGBMUG8C2LBAIL From the supplier datasheet, 8 in the middle of the MPN: THGBMJG8C2LBAIL and THGBMUG8C2LBAIL are refer to 32 GB. 2. Verif... | Source mode: Non-Suspected bad HW; Source code: Not Received; Root-cause code: Fault Isolated; Root cause: 1. Check the manufacturing part number MPN for KGB: THGBMJG8C2LBAIL MPN for FA: THGBMUG8C2LBAIL From the supplier datasheet, 8 in the middle of the MPN: THGBMJG8C2LBAIL and THGBMUG8C2LBAIL are refer to 32 GB. 2. Verif...</t>
  </si>
  <si>
    <t>FA CASE REPORT _ SRGBU FA Case Details 2.xlsx | input | row 1236; FA CASE REPORT _ SRGBU FA Case Details 2.xlsx | input | row 1237; FA CASE REPORT _ SRGBU FA Case Details 2.xlsx | input | row 1424; FA CASE REPORT _ SRGBU FA Case Details 2.xlsx | input | row 1485</t>
  </si>
  <si>
    <t>RFA-000107</t>
  </si>
  <si>
    <t>Source mode: Workmanship; Source code: Mechanical; Root-cause code: Fault Isolated; Root cause: 1. Both units are added stiffener and used new optimization designed connectors. For the other P4 case FA-0898309: 2. Disassembled the FA-0898309 chassis of top cover, no assemble issue found. 3. Measured the side pla...</t>
  </si>
  <si>
    <t>FA CASE REPORT _ SRGBU FA Case Details 2.xlsx | input | row 1249</t>
  </si>
  <si>
    <t>RFA-000108</t>
  </si>
  <si>
    <t>FA-0898309</t>
  </si>
  <si>
    <t>Source mode: Workmanship; Source code: Mechanical; Root-cause code: Fault Isolated; Root cause: 1. Both units are added stiffener and used new optimization designed connectors. 2. Disassembled the FA-0898309 chassis of top cover, no assemble issue found. 3. Measured the side plane of the board and found singal D...</t>
  </si>
  <si>
    <t>FA CASE REPORT _ SRGBU FA Case Details 2.xlsx | input | row 1295</t>
  </si>
  <si>
    <t>RFA-000109</t>
  </si>
  <si>
    <t>FA-0908560</t>
  </si>
  <si>
    <t>Source mode: Workmanship; Source code: Re-Seat; Root-cause code: Fault Isolated; Root cause: 2) Rootcause identification 2.1) Check boot up test Result: Failed, No console suspect issue from DIMM RAM POST (Power‑On Self Test) [ in process boot up CPU Need to use DIMM RAM for load bios ] 2.2) Inspection on DIM...</t>
  </si>
  <si>
    <t>FA CASE REPORT _ SRGBU FA Case Details 2.xlsx | input | row 1296</t>
  </si>
  <si>
    <t>RFA-000110</t>
  </si>
  <si>
    <t>Solder; Contamination</t>
  </si>
  <si>
    <t>Source mode: Workmanship; Source code: Open/Short Circuit (Non-Solder); Root-cause code: Fault Isolated; Root cause: --Observed Dust (U5500(MCU),U5501(MCU VREF Generator),R5514,R5506,U2200,U2201,R6600,C6600,R6622,U6600 (VCC_2V5) on the PCBA --Observed Burnt mark (U4000) on the PCBA --Observed thermal pad label not removed from Heat...</t>
  </si>
  <si>
    <t>FA CASE REPORT _ SRGBU FA Case Details 2.xlsx | input | row 1383; FA CASE REPORT _ SRGBU FA Case Details 2.xlsx | input | row 1384; FA CASE REPORT _ SRGBU FA Case Details 2.xlsx | input | row 1385; FA CASE REPORT _ SRGBU FA Case Details 2.xlsx | input | row 1386</t>
  </si>
  <si>
    <t>RFA-000111</t>
  </si>
  <si>
    <t>FA-0865575</t>
  </si>
  <si>
    <t>Source mode: Workmanship; Source code: Re-Seat; Root-cause code: Fault Isolated; Root cause: 1. Reseat memory module Result: After reseating the memory module in U1BD0_SKT., boot a valid image v17.06.06a using pen drive, and the unit successfully booted up with any error or crashes. The outputs of the show pl...</t>
  </si>
  <si>
    <t>FA CASE REPORT _ SRGBU FA Case Details 2.xlsx | input | row 1405</t>
  </si>
  <si>
    <t>RFA-000112</t>
  </si>
  <si>
    <t>Source mode: Workmanship; Source code: Damage; Root-cause code: Fault Isolated; Root cause: The connector is damaged, preventing insertion into the unit. Replacement is required. Component information: Location: J3 Part number: 29-7515-01 Lot Code: 0124011011 Date Code: 2224 MPN: JG84200001 Vendor: AMPHENOL</t>
  </si>
  <si>
    <t>FA CASE REPORT _ SRGBU FA Case Details 2.xlsx | input | row 1428</t>
  </si>
  <si>
    <t>RFA-000113</t>
  </si>
  <si>
    <t>FA-0874511</t>
  </si>
  <si>
    <t>Solder Reflow; Damage</t>
  </si>
  <si>
    <t>Source mode: Workmanship; Source code: Solder Reflow; Root-cause code: Fault Isolated; Root cause: 1. Open the cover and check. Result: No found physical damaged. DIMM can be insert into DIMM slot properly. 2. Reinsert the DIMM in DIMM0 slot. Result: The unit can power on cannot boot up, status LED light up red, fa...</t>
  </si>
  <si>
    <t>FA CASE REPORT _ SRGBU FA Case Details 2.xlsx | input | row 1439</t>
  </si>
  <si>
    <t>RFA-000114</t>
  </si>
  <si>
    <t>FA-0874546</t>
  </si>
  <si>
    <t>Source mode: Workmanship; Source code: Re-Seat; Root-cause code: Fault Isolated; Root cause: Open the box, check the LED DB, and found the cable between LED DB and mother board has installation issue. It was not install well to the MB connector. After re-install the cable, all 3 system LEDs worked fine.</t>
  </si>
  <si>
    <t>FA CASE REPORT _ SRGBU FA Case Details 2.xlsx | input | row 1470</t>
  </si>
  <si>
    <t>RFA-000115</t>
  </si>
  <si>
    <t>Cosmetic; Contamination</t>
  </si>
  <si>
    <t>Source mode: Workmanship; Source code: Cosmetic; Root-cause code: Fault Isolated; Root cause: 1. Disassembly the unit to check the LED status. Result: The brightness of the PCBA LED lights is normal. 2. Upon disassembly, a foreign object was found at the logo area on the back of the label, causing the malfunct...</t>
  </si>
  <si>
    <t>FA CASE REPORT _ SRGBU FA Case Details 2.xlsx | input | row 1496</t>
  </si>
  <si>
    <t>RFA-000116</t>
  </si>
  <si>
    <t>Source mode: Workmanship; Source code: Damage; Root-cause code: Fault Isolated; Root cause: 1. Check the MFG log before shipping. Result: The unit pass the test, no function failure. The received unit's GigabitEthernet0/1/0 port was link down, and found the port GigabitEthernet0/1/0 was damaged. This is a DO... | Source mode: Non-Suspected bad HW; Source code: Not Received; Root-cause code: Fault Isolated; Root cause: 1. Check the MFG log before shipping. Result: The unit pass the test, no function failure. The received unit's GigabitEthernet0/1/0 port was link down, and found the port GigabitEthernet0/1/0 was damaged. This is a DO...</t>
  </si>
  <si>
    <t>FA CASE REPORT _ SRGBU FA Case Details 2.xlsx | input | row 1506; FA CASE REPORT _ SRGBU FA Case Details 2.xlsx | input | row 1507; FA CASE REPORT _ SRGBU FA Case Details 2.xlsx | input | row 1508</t>
  </si>
  <si>
    <t>RFA-000117</t>
  </si>
  <si>
    <t>Source mode: Workmanship; Source code: Missing Component / Part; Root-cause code: Fault Isolated; Root cause: -PCBA Visual Inspection Result: Fail A missing screw hole was detected, which corresponds to the loose screw found on the SM module heatsink. -Ambient Diag Test. Result: PASS. -Power cycle Result: PASS. - 4C diag Resu... | Source mode: Non-Suspected bad HW; Source code: Not Received; Root-cause code: Fault Isolated; Root cause: -PCBA Visual Inspection Result: Fail A missing screw hole was detected, which corresponds to the loose screw found on the SM module heatsink. -Ambient Diag Test. Result: PASS. -Power cycle Result: PASS. - 4C diag Resu...</t>
  </si>
  <si>
    <t>FA CASE REPORT _ SRGBU FA Case Details 2.xlsx | input | row 1513; FA CASE REPORT _ SRGBU FA Case Details 2.xlsx | input | row 1535; FA CASE REPORT _ SRGBU FA Case Details 2.xlsx | input | row 1536; FA CASE REPORT _ SRGBU FA Case Details 2.xlsx | input | row 1619</t>
  </si>
  <si>
    <t>RFA-000118</t>
  </si>
  <si>
    <t>FA-0918872</t>
  </si>
  <si>
    <t>Source mode: Workmanship; Source code: Mechanical; Root-cause code: Fault Isolated; Root cause: N/A</t>
  </si>
  <si>
    <t>FA CASE REPORT _ SRGBU FA Case Details 2.xlsx | input | row 1519</t>
  </si>
  <si>
    <t>RFA-000119</t>
  </si>
  <si>
    <t>FA-0915681</t>
  </si>
  <si>
    <t>Source mode: Workmanship; Source code: Solder Reflow; Root-cause code: Fault Isolated; Root cause: 0) X-Ray inspection soldering Procyon 0 and 1 Result is passed 1) Reflow Procyon 0 and perform test Diag amb Result is passed Diag 4C Result is passed IOS Aging for 3 days result is passed</t>
  </si>
  <si>
    <t>FA CASE REPORT _ SRGBU FA Case Details 2.xlsx | input | row 1550</t>
  </si>
  <si>
    <t>RFA-000120</t>
  </si>
  <si>
    <t>Source mode: Workmanship; Source code: Mechanical; Root-cause code: Fault Isolated; Root cause: 1.- PCBA Visual Inspection Result: Fail The power switch cable is not properly secured with the cable tie. 2.- Fan Tray Validation. Result: Fail, It was observed that FAN P2 within the fan tray is physically stuck, pr...</t>
  </si>
  <si>
    <t>FA CASE REPORT _ SRGBU FA Case Details 2.xlsx | input | row 1556</t>
  </si>
  <si>
    <t>RFA-000121</t>
  </si>
  <si>
    <t>FA-0917058</t>
  </si>
  <si>
    <t>Source mode: Workmanship; Source code: Open/Short Circuit (Non-Solder); Root-cause code: Fault Isolated; Root cause: The C8200L was left powered on over the weekend; however, the unit remained in a no-boot/no-LED state until the PWR button was toggled on/off several times, the unit recovered and booted normally. AC power has now bee...</t>
  </si>
  <si>
    <t>FA CASE REPORT _ SRGBU FA Case Details 2.xlsx | input | row 1562</t>
  </si>
  <si>
    <t>RFA-000122</t>
  </si>
  <si>
    <t>Source mode: Workmanship; Source code: Mechanical; Root-cause code: Fault Isolated; Root cause: Rootcause verification 1) Inspection of Chassis during boot: Found fantray P6 LED not showing any light. 2) ISOLATED Cause of failure from Chassis or fantray: Condition A: Swap FA Fantray to Known Good Chassis Conditi...</t>
  </si>
  <si>
    <t>FA CASE REPORT _ SRGBU FA Case Details 2.xlsx | input | row 1564</t>
  </si>
  <si>
    <t>RFA-000062</t>
  </si>
  <si>
    <t>Source mode: Workmanship; Source code: Damage; Root-cause code: Fault Isolated; Root cause: 1.Dissemble the unit and check. Result:Found the console LED was dropped. ----------CR19 information----------- CPN:25-1264-01 MPN:APA1606MGC Manufacture:KINGBRIGHT DC:D220421 LC:LS0223M0552</t>
  </si>
  <si>
    <t>FA CASE REPORT _ SRGBU FA Case Details 2.xlsx | input | row 157</t>
  </si>
  <si>
    <t>RFA-000123</t>
  </si>
  <si>
    <t>Source mode: Workmanship; Source code: Re-Seat; Root-cause code: Fault Isolated; Root cause: --Observed PSU connector was lift up from the Motherboard PCBA 1.After reseat the PSU Connector – Unit is power on 2.After reseat the PSU Connector -Boot iOS test –Passed 3.After reseat the PSU Connector -Ambient diag...</t>
  </si>
  <si>
    <t>FA CASE REPORT _ SRGBU FA Case Details 2.xlsx | input | row 1609</t>
  </si>
  <si>
    <t>RFA-000124</t>
  </si>
  <si>
    <t>FA-0918458</t>
  </si>
  <si>
    <t>Source mode: Workmanship; Source code: Re-Seat; Category: C8500L-8S4X boot fails due to poor DIMM insertions; Root-cause code: Fault Isolated; Root cause: 2) Un-Assemble the chassis and check DIMM RAM Result Failed, found hinge arm can't lock with DIMM RAM slot [0] 3) Inspection hinge arm by compare anothe side Result: Passed 4) Insert DIMM RAM Slot[0] to properly and p...</t>
  </si>
  <si>
    <t>FA CASE REPORT _ SRGBU FA Case Details 2.xlsx | input | row 1624</t>
  </si>
  <si>
    <t>RFA-000063</t>
  </si>
  <si>
    <t>FA-0710222</t>
  </si>
  <si>
    <t>Source mode: Workmanship; Source code: Damage; Root-cause code: Fault Isolated; Root cause: 1.Dissemble the unit and check the board. Result:Found much scratches on the board near the SFP port 0/0/2 and 0/0/3. 2.Perform Diag test for the board. _x000B_Result: Failed, Found I350 SFP I2C test error, it is rela...</t>
  </si>
  <si>
    <t>FA CASE REPORT _ SRGBU FA Case Details 2.xlsx | input | row 175</t>
  </si>
  <si>
    <t>RFA-000064</t>
  </si>
  <si>
    <t>FA-0731384</t>
  </si>
  <si>
    <t>Source mode: Workmanship; Source code: Solder; Root-cause code: Fault Isolated; Root cause: 1. Boot up the device into IOS and check the status again. The unit cannot boot up into the IOS and show no console. 2. Measured the power rails. We found 12 V short to ground [redacted] board was unable t...</t>
  </si>
  <si>
    <t>FA CASE REPORT _ SRGBU FA Case Details 2.xlsx | input | row 183</t>
  </si>
  <si>
    <t>RFA-000065</t>
  </si>
  <si>
    <t>FA-0697814</t>
  </si>
  <si>
    <t>Source mode: Workmanship; Source code: Missing Component / Part; Root-cause code: Fault Isolated; Root cause: 1. Upon de-combo observe a DIMM card is not fully inserted causing the fail to boot up and missing one of the latch of the DIMM slot. (please refer to the attachment file) 2. We did not find any missing latch of the D...</t>
  </si>
  <si>
    <t>FA CASE REPORT _ SRGBU FA Case Details 2.xlsx | input | row 231</t>
  </si>
  <si>
    <t>RFA-000066</t>
  </si>
  <si>
    <t>Source mode: Workmanship; Source code: Damage; Root-cause code: Fault Isolated; Root cause: cover information: CPN: 800-46917-01 MPN: 800-46917-01 Mfr: FOXCONN</t>
  </si>
  <si>
    <t>FA CASE REPORT _ SRGBU FA Case Details 2.xlsx | input | row 294</t>
  </si>
  <si>
    <t>RFA-000059</t>
  </si>
  <si>
    <t>FA-0725079</t>
  </si>
  <si>
    <t>Source mode: Workmanship; Source code: Re-Seat; Root-cause code: Fault Isolated; Root cause: 1. Based on the failure logs, It potentially related to DIMMs not fully insert to their slots. Upon de-combo observe a DIMM card is fully inserted. (please refer to the attachment file) 2. Verify the DIMM card and bas...</t>
  </si>
  <si>
    <t>FA CASE REPORT _ SRGBU FA Case Details 2.xlsx | input | row 30; FA CASE REPORT _ SRGBU FA Case Details 2.xlsx | input | row 31</t>
  </si>
  <si>
    <t>RFA-000067</t>
  </si>
  <si>
    <t>FA-0675805</t>
  </si>
  <si>
    <t>Source mode: Workmanship; Source code: Re-Seat; Root-cause code: Fault Isolated; Root cause: 1. Upon de-combo observe a DIMM card is not fully inserted causing the booting up failure(please refer to the attachment file). 2. Verify the DIMM card and base on cesium it's the original DIMM. [redacted]...</t>
  </si>
  <si>
    <t>FA CASE REPORT _ SRGBU FA Case Details 2.xlsx | input | row 301</t>
  </si>
  <si>
    <t>RFA-000068</t>
  </si>
  <si>
    <t>FA-0719809</t>
  </si>
  <si>
    <t>Source mode: Non-Suspected bad HW; Source code: Not Received; Root-cause code: Fault Isolated; Root cause: 1. Open the cover and check. Result: Found the surrounding of L6101 has some glue.(refer to ppt report) 2. Measure the main voltage and the impedance of main voltage. Result: The 3.3V, 2.5V, 1.8V and 1.05V rises for a...</t>
  </si>
  <si>
    <t>FA CASE REPORT _ SRGBU FA Case Details 2.xlsx | input | row 314</t>
  </si>
  <si>
    <t>Confirm factory causation and proposed classification. Confirm the incident falls within 2024-01-01 through 2026-07-31.</t>
  </si>
  <si>
    <t>RFA-000069</t>
  </si>
  <si>
    <t>FA-0695760</t>
  </si>
  <si>
    <t>Re-Seat; Missing Component / Part</t>
  </si>
  <si>
    <t>Source mode: Workmanship; Source code: Re-Seat; Root-cause code: Fault Isolated; Root cause: 1. Upon de-combo observe a DIMM card is not fully inserted and missing one of the latch of the DIMM slot. (please refer to the attachment file) 2. Verify the DIMM card and base on cesium it's the original DIMM. [sales...</t>
  </si>
  <si>
    <t>FA CASE REPORT _ SRGBU FA Case Details 2.xlsx | input | row 316</t>
  </si>
  <si>
    <t>RFA-000070</t>
  </si>
  <si>
    <t>Source mode: Workmanship; Source code: Re-Seat; Root-cause code: Fault Isolated; Root cause: 1. Open the cover and check. Result: Found the power module's connectors were improper connected, but no found physical damaged.(refer to ppt report) 2. Try to reinsert the FA power module's connector CN2 and power on...</t>
  </si>
  <si>
    <t>FA CASE REPORT _ SRGBU FA Case Details 2.xlsx | input | row 361</t>
  </si>
  <si>
    <t>RFA-000071</t>
  </si>
  <si>
    <t>FA-0797438</t>
  </si>
  <si>
    <t>Source mode: Workmanship; Source code: Re-Seat; Root-cause code: Fault Isolated; Root cause: 1. Upon de-combo observe a DIMM card is not fully inserted causing it fails to boot up.(please refer to the attachment file) 2. Verify the DIMM card and base on cesium it's the original DIMM. [redacted] to...</t>
  </si>
  <si>
    <t>FA CASE REPORT _ SRGBU FA Case Details 2.xlsx | input | row 398</t>
  </si>
  <si>
    <t>RFA-000072</t>
  </si>
  <si>
    <t>FA-0790357</t>
  </si>
  <si>
    <t>Source mode: Workmanship; Source code: Solder Reflow; Root-cause code: Fault Isolated; Root cause: 1. Open the cover and check. Result: No found abnormal. 2. Re-insert the DIMM card on DIMM0 slot (J2500). Result: The routers still no console output. 3. Insert the DIMM card to DIMM1 slot (J2600). Result: FJC284119BZ...</t>
  </si>
  <si>
    <t>FA CASE REPORT _ SRGBU FA Case Details 2.xlsx | input | row 410; FA CASE REPORT _ SRGBU FA Case Details 2.xlsx | input | row 411</t>
  </si>
  <si>
    <t>RFA-000073</t>
  </si>
  <si>
    <t>FA-0750218</t>
  </si>
  <si>
    <t>Source mode: Workmanship; Source code: Re-Seat; Root-cause code: Fault Isolated; Root cause: 1. Open the cover and check. Result: Found the DIMM0 on slot J2500 is not inserted in properly.(refer to attached ppt report) 2. Install the DIMM properly and power on the unit to check. Result: The unit could power o...</t>
  </si>
  <si>
    <t>FA CASE REPORT _ SRGBU FA Case Details 2.xlsx | input | row 420</t>
  </si>
  <si>
    <t>RFA-000074</t>
  </si>
  <si>
    <t>FA-0781124</t>
  </si>
  <si>
    <t>Source mode: Non-Suspected bad HW; Source code: Not Received; Root-cause code: Fault Isolated; Root cause: 1. Disassembly and visual inspection. Results: During disassembly and visual inspection, found out that the memory slots located at U1DA0_SKT and U1DA1_SKT has flux residues and contaminations and it's hard to insert... | Source mode: Workmanship; Source code: Contamination; Root-cause code: Fault Isolated; Root cause: 1. Disassembly and visual inspection. Results: During disassembly and visual inspection, found out that the memory slots located at U1DA0_SKT and U1DA1_SKT has flux residues and contaminations and it's hard to insert...</t>
  </si>
  <si>
    <t>FA CASE REPORT _ SRGBU FA Case Details 2.xlsx | input | row 433; FA CASE REPORT _ SRGBU FA Case Details 2.xlsx | input | row 435; FA CASE REPORT _ SRGBU FA Case Details 2.xlsx | input | row 605</t>
  </si>
  <si>
    <t>RFA-000075</t>
  </si>
  <si>
    <t>FA-0747104</t>
  </si>
  <si>
    <t>Source mode: Workmanship; Source code: Solder; Root-cause code: Fault Isolated; Root cause: The defective RLDAM (U1_D11_P0) was the cause of the failure for this UUT. The unit has dye penetration (Hot-tear issue).</t>
  </si>
  <si>
    <t>FA CASE REPORT _ SRGBU FA Case Details 2.xlsx | input | row 462</t>
  </si>
  <si>
    <t>RFA-000076</t>
  </si>
  <si>
    <t>FA-0778794</t>
  </si>
  <si>
    <t>FA CASE REPORT _ SRGBU FA Case Details 2.xlsx | input | row 471</t>
  </si>
  <si>
    <t>RFA-000077</t>
  </si>
  <si>
    <t>FA-0780803</t>
  </si>
  <si>
    <t>FA CASE REPORT _ SRGBU FA Case Details 2.xlsx | input | row 492</t>
  </si>
  <si>
    <t>RFA-000078</t>
  </si>
  <si>
    <t>Source mode: Workmanship; Source code: Re-Seat; Root-cause code: Fault Isolated; Root cause: 3.- Internal visual Inspection. Results: After an internal visual inspection, the FANs were validated, but they are properly connected. The LED card was then validated and it was discovered that the flat connector tha...</t>
  </si>
  <si>
    <t>FA CASE REPORT _ SRGBU FA Case Details 2.xlsx | input | row 593</t>
  </si>
  <si>
    <t>RFA-000079</t>
  </si>
  <si>
    <t xml:space="preserve"> N</t>
  </si>
  <si>
    <t>FA-0760449</t>
  </si>
  <si>
    <t>Source mode: Non-Suspected bad HW; Source code: Not Received; Root-cause code: Fault Isolated; Root cause: 1. Disassembly and visual inspection. Result: - No abnormality inside the switch. - No cable cord inside the box. - Visual inspection revealed missing screw to the unit. - At the back of the unit, the screw hole is de...</t>
  </si>
  <si>
    <t>FA CASE REPORT _ SRGBU FA Case Details 2.xlsx | input | row 642</t>
  </si>
  <si>
    <t>Confirm factory causation and proposed classification. Confirm the incident falls within 2024-01-01 through 2026-07-31.
UABU</t>
  </si>
  <si>
    <t>RFA-000080</t>
  </si>
  <si>
    <t>Source mode: Workmanship; Source code: Mechanical; Root-cause code: Fault Isolated; Root cause: 1. Open the top cover to perform visual inspection for the PCBA. Result: Failed. For SN: FJC28191DGL, found the R4715 damaged and dropped on board. For SN: FJC28191LQF, found the R4715 a little damaged. 2. Check CFT d...</t>
  </si>
  <si>
    <t>FA CASE REPORT _ SRGBU FA Case Details 2.xlsx | input | row 664; FA CASE REPORT _ SRGBU FA Case Details 2.xlsx | input | row 665</t>
  </si>
  <si>
    <t>RFA-000060</t>
  </si>
  <si>
    <t>Bent pin</t>
  </si>
  <si>
    <t>Source mode: Workmanship; Source code: Bent pin; Root-cause code: Fault Isolated; Root cause: 1. Open the cover and check and do 2D_X-ray test. Result: Found the USB port connector J3700 pin 9(CONN_USB3_TX_P) was bent.(refer to ppt report) 2. Perform diagnostic test in production line. Result: The router fail... | Source mode: Non-Suspected bad HW; Source code: Not Received; Root-cause code: Fault Isolated; Root cause: 1. Open the cover and check and do 2D_X-ray test. Result: Found the USB port connector J3700 pin 9(CONN_USB3_TX_P) was bent.(refer to ppt report) 2. Perform diagnostic test in production line. Result: The router fail...</t>
  </si>
  <si>
    <t>FA CASE REPORT _ SRGBU FA Case Details 2.xlsx | input | row 69; FA CASE REPORT _ SRGBU FA Case Details 2.xlsx | input | row 309</t>
  </si>
  <si>
    <t>RFA-000057</t>
  </si>
  <si>
    <t>FA-0736902</t>
  </si>
  <si>
    <t>Source mode: Non-Suspected bad HW; Source code: Not Received; Root-cause code: Fault Isolated; Root cause: 1. Upon de-combo observe a DIMM card is not fully inserted causing it fails to boot up.(please refer to the attachment file) 2. Verify the DIMM card and base on cesium it's the original DIMM. [redacted] to... | Source mode: Workmanship; Source code: Re-Seat; Root-cause code: Fault Isolated; Root cause: 1. Upon de-combo observe a DIMM card is not fully inserted causing it fails to boot up.(please refer to the attachment file) 2. Verify the DIMM card and base on cesium it's the original DIMM. [redacted] to...</t>
  </si>
  <si>
    <t>FA CASE REPORT _ SRGBU FA Case Details 2.xlsx | input | row 7; FA CASE REPORT _ SRGBU FA Case Details 2.xlsx | input | row 335; FA CASE REPORT _ SRGBU FA Case Details 2.xlsx | input | row 352; FA CASE REPORT _ SRGBU FA Case Details 2.xlsx | input | row 353</t>
  </si>
  <si>
    <t>RFA-000081</t>
  </si>
  <si>
    <t>FA-0771887</t>
  </si>
  <si>
    <t>Solder; Mechanical; Cosmetic</t>
  </si>
  <si>
    <t>Source mode: Workmanship; Source code: Solder; Root-cause code: Fault Isolated; Root cause: 1. Open the cover and check the associated circuit. Result: Found the three pins (pin1&amp;pin38&amp;pin65) were misalignment under the microscope at the PHY U7500.(refer to ppt report) 2. Measure the resistance and voltage v...</t>
  </si>
  <si>
    <t>FA CASE REPORT _ SRGBU FA Case Details 2.xlsx | input | row 764</t>
  </si>
  <si>
    <t>RFA-000082</t>
  </si>
  <si>
    <t>FA-0739938</t>
  </si>
  <si>
    <t>FA CASE REPORT _ SRGBU FA Case Details 2.xlsx | input | row 776</t>
  </si>
  <si>
    <t>RFA-000083</t>
  </si>
  <si>
    <t>Source mode: Workmanship; Source code: Mechanical; Root-cause code: Fault Isolated; Root cause: 1. Power on the unit. Result: The unit could power on and boot up nromally.(refer to log1) Router#show logging onboard slot R0 uptime Slot Reset reason Power On --------------------------------------------------------...</t>
  </si>
  <si>
    <t>FA CASE REPORT _ SRGBU FA Case Details 2.xlsx | input | row 778</t>
  </si>
  <si>
    <t>RFA-000061</t>
  </si>
  <si>
    <t>FA-0723349</t>
  </si>
  <si>
    <t>Source mode: Workmanship; Source code: Damage; Root-cause code: Fault Isolated; Root cause: 1.Dissemble the unit and check. Result:Found the console LED was damaged. (refer to attached ppt report) This is a DOA case, no repair history, involve the manufacture team to investigate. ----------CR19 information--... | Source mode: Non-Suspected bad HW; Source code: Not Received; Root-cause code: Fault Isolated; Root cause: 1.Dissemble the unit and check. Result:Found the console LED was damaged. (refer to attached ppt report) This is a DOA case, no repair history, involve the manufacture team to investigate. ----------CR19 information--...</t>
  </si>
  <si>
    <t>FA CASE REPORT _ SRGBU FA Case Details 2.xlsx | input | row 79; FA CASE REPORT _ SRGBU FA Case Details 2.xlsx | input | row 203</t>
  </si>
  <si>
    <t>RFA-000084</t>
  </si>
  <si>
    <t>FA-0832738</t>
  </si>
  <si>
    <t>Source mode: Workmanship; Source code: Re-Seat; Root-cause code: Fault Isolated; Root cause: 1. Upon de-combo observe a DIMM card is not fully inserted causing the fail to boot up. (please refer to the attachment photos) 2. Verify the DIMM card and base on cesium it's the original DIMM. [redacted]...</t>
  </si>
  <si>
    <t>FA CASE REPORT _ SRGBU FA Case Details 2.xlsx | input | row 809</t>
  </si>
  <si>
    <t>RFA-000085</t>
  </si>
  <si>
    <t>FA-0743758</t>
  </si>
  <si>
    <t>Source mode: Workmanship; Source code: Solder Reflow; Root-cause code: Fault Isolated; Root cause: 1. Visually inspected the board, no solder issue found. 2. Test the board with Diag, it passed diagTest when connect loopback. But failed at port link test when connect port by network cable(this test added in manufac...</t>
  </si>
  <si>
    <t>FA CASE REPORT _ SRGBU FA Case Details 2.xlsx | input | row 811</t>
  </si>
  <si>
    <t>RFA-000086</t>
  </si>
  <si>
    <t>FA-0856003</t>
  </si>
  <si>
    <t>Source mode: Workmanship; Source code: Re-Seat; Root-cause code: Fault Isolated; Root cause: 1. Open the cover and check. Result: the FPC is not inserted in properly. Please refer to attachment. 2. Perform diag test for the PCBA. Result: Pass. 3. Perform traffic test for the unit. Result: Pass. 4. Perform pow...</t>
  </si>
  <si>
    <t>FA CASE REPORT _ SRGBU FA Case Details 2.xlsx | input | row 850</t>
  </si>
  <si>
    <t>RFA-000087</t>
  </si>
  <si>
    <t>Source mode: Workmanship; Source code: Solder; Root-cause code: Fault Isolated; Root cause: 1. ST4-Diagnostic test. Result: Failed. The unit failed the four corners diagnostic test at high temperature. COMP0053/pyonicm/AA0D: QFP0.0 - Retimer EUC-SAME-DEV2: Initializing... Detected device id0:0xae02, id1:0x52... | Source mode: Field-Introduced; Source code: Mechanical damage; Root-cause code: Fault Isolated; Root cause: 1. ST4-Diagnostic test. Result: Failed. The unit failed the four corners diagnostic test at high temperature. COMP0053/pyonicm/AA0D: QFP0.0 - Retimer EUC-SAME-DEV2: Initializing... Detected device id0:0xae02, id1:0x52...</t>
  </si>
  <si>
    <t>FA CASE REPORT _ SRGBU FA Case Details 2.xlsx | input | row 855; FA CASE REPORT _ SRGBU FA Case Details 2.xlsx | input | row 947</t>
  </si>
  <si>
    <t>RFA-000088</t>
  </si>
  <si>
    <t>Source mode: Workmanship; Source code: Cosmetic; Root-cause code: Fault Isolated; Root cause: No log is attached.</t>
  </si>
  <si>
    <t>FA CASE REPORT _ SRGBU FA Case Details 2.xlsx | input | row 933</t>
  </si>
  <si>
    <t>RFA-000089</t>
  </si>
  <si>
    <t>FA-0808641</t>
  </si>
  <si>
    <t>Source mode: Workmanship; Source code: Damage; Root-cause code: Fault Isolated; Root cause: 1. Visual inspection Result: Signs of rework was detected around and under U1(CPU). Pictures attached. Cesium shows that this unit failed the 'shorts test' at ICT during production due to a solder bridge. Defect Class...</t>
  </si>
  <si>
    <t>FA CASE REPORT _ SRGBU FA Case Details 2.xlsx | input | row 952</t>
  </si>
  <si>
    <t>RFA-000090</t>
  </si>
  <si>
    <t>FA-0838773</t>
  </si>
  <si>
    <t>Source mode: Workmanship; Source code: Damage; Root-cause code: Fault Isolated; Root cause: 1.Open the top cover to perform visual inspection, the board no process or burnt issue found. But the board still can't power on. 2. Disassembled the unit, removed the upper module and only power on the Mother board,...</t>
  </si>
  <si>
    <t>FA CASE REPORT _ SRGBU FA Case Details 2.xlsx | input | row 960</t>
  </si>
  <si>
    <t>RFA-000091</t>
  </si>
  <si>
    <t>FA-0817077</t>
  </si>
  <si>
    <t>Source mode: Non-Suspected bad HW; Source code: Not Received; Root-cause code: Fault Isolated; Root cause: 1. Upon checking the DF site, it appears that the unit should have the C8000-HSEC license installed before being shipped to the customer. Based on Line ID configuration they need to install C8000-HSEC license in all 2... | Source mode: Workmanship; Source code: Wrong SW installed or Configuration made at Factory; Root-cause code: Fault Isolated; Root cause: 1. Upon checking the DF site, it appears that the unit should have the C8000-HSEC license installed before being shipped to the customer. Based on Line ID configuration they need to install C8000-HSEC license in all 2...</t>
  </si>
  <si>
    <t>FA CASE REPORT _ SRGBU FA Case Details 2.xlsx | input | row 993; FA CASE REPORT _ SRGBU FA Case Details 2.xlsx | input | row 1035; FA CASE REPORT _ SRGBU FA Case Details 2.xlsx | input | row 1036</t>
  </si>
  <si>
    <t>Confirm factory causation and proposed classification. Choose Installed versus Configuration for the ambiguous factory-software source code. Confirm the incident falls within 2024-01-01 through 2026-07-31.</t>
  </si>
  <si>
    <t>RFA-000135</t>
  </si>
  <si>
    <t>Source mode: Workmanship; Source code: Open/Short Circuit (Non-Solder); Category: HW Fail - Boot Up; Root-cause code: Fault Isolated</t>
  </si>
  <si>
    <t>FA CASE REPORT _IOT FA Case Details.xlsx | FA Details | row 130</t>
  </si>
  <si>
    <t>RFA-000136</t>
  </si>
  <si>
    <t>FA CASE REPORT _IOT FA Case Details.xlsx | FA Details | row 135</t>
  </si>
  <si>
    <t>RFA-000137</t>
  </si>
  <si>
    <t>Source mode: Workmanship; Source code: Re-Seat; Category: HW Fail - Boot Up; Root-cause code: Fault Isolated</t>
  </si>
  <si>
    <t>FA CASE REPORT _IOT FA Case Details.xlsx | FA Details | row 136</t>
  </si>
  <si>
    <t>RFA-000138</t>
  </si>
  <si>
    <t>Reverse/Wrong Orientation</t>
  </si>
  <si>
    <t>Source mode: Workmanship; Source code: Reverse/Wrong Orientation; Root-cause code: Fault Isolated</t>
  </si>
  <si>
    <t>FA CASE REPORT _IOT FA Case Details.xlsx | FA Details | row 137</t>
  </si>
  <si>
    <t>RFA-000139</t>
  </si>
  <si>
    <t>Source mode: Workmanship; Source code: Wrong SW installed or Configuration made at Factory; Category: HW Fail - Other; Root-cause code: Fault Isolated</t>
  </si>
  <si>
    <t>FA CASE REPORT _IOT FA Case Details.xlsx | FA Details | row 138</t>
  </si>
  <si>
    <t>RFA-000140</t>
  </si>
  <si>
    <t>Source mode: Workmanship; Source code: Wrong SW installed or Configuration made at Factory; Root-cause code: Fault Isolated | Source mode: Non-Suspected bad HW; Source code: Not Received; Root-cause code: Fault Isolated</t>
  </si>
  <si>
    <t>FA CASE REPORT _IOT FA Case Details.xlsx | FA Details | row 153; FA CASE REPORT _IOT FA Case Details.xlsx | FA Details | row 234</t>
  </si>
  <si>
    <t>RFA-000125</t>
  </si>
  <si>
    <t>FA-0774838</t>
  </si>
  <si>
    <t>Supplier defect</t>
  </si>
  <si>
    <t>Source mode: Workmanship; Source code: Open/Short Circuit (Non-Solder); Category: HW Fail - Other; Root-cause code: Fault Isolated - 341-0629-01</t>
  </si>
  <si>
    <t>FA CASE REPORT _IOT FA Case Details.xlsx | FA Details | row 16</t>
  </si>
  <si>
    <t>RFA-000141</t>
  </si>
  <si>
    <t>Source mode: Workmanship; Source code: Wrong SW installed or Configuration made at Factory; Category: HW Fail - Boot Up; Root-cause code: Fault Isolated</t>
  </si>
  <si>
    <t>FA CASE REPORT _IOT FA Case Details.xlsx | FA Details | row 185</t>
  </si>
  <si>
    <t>RFA-000142</t>
  </si>
  <si>
    <t>FA CASE REPORT _IOT FA Case Details.xlsx | FA Details | row 197</t>
  </si>
  <si>
    <t>RFA-000143</t>
  </si>
  <si>
    <t>FA-0707715</t>
  </si>
  <si>
    <t>Workmanship; Assembly</t>
  </si>
  <si>
    <t>Source mode: Workmanship; Source code: Damage; Root-cause code: Fault Isolated | Source mode: Workmanship; Source code: Missing Component / Part; Root-cause code: Fault Isolated</t>
  </si>
  <si>
    <t>FA CASE REPORT _IOT FA Case Details.xlsx | FA Details | row 199; FA CASE REPORT _IOT FA Case Details.xlsx | FA Details | row 200; FA CASE REPORT _IOT FA Case Details.xlsx | FA Details | row 202; FA CASE REPORT _IOT FA Case Details.xlsx | FA Details | row 226</t>
  </si>
  <si>
    <t>RFA-000144</t>
  </si>
  <si>
    <t>FA-0796383</t>
  </si>
  <si>
    <t>Source mode: Workmanship; Source code: Cosmetic; Root-cause code: Fault Isolated</t>
  </si>
  <si>
    <t>FA CASE REPORT _IOT FA Case Details.xlsx | FA Details | row 233</t>
  </si>
  <si>
    <t>RFA-000145</t>
  </si>
  <si>
    <t>FA-0789209</t>
  </si>
  <si>
    <t>FA CASE REPORT _IOT FA Case Details.xlsx | FA Details | row 237</t>
  </si>
  <si>
    <t>RFA-000126</t>
  </si>
  <si>
    <t>FA-0823577</t>
  </si>
  <si>
    <t>Source mode: Workmanship; Source code: Open/Short Circuit (Non-Solder); Category: HW Fail - Power; Root-cause code: Fault Isolated - 341-101049-01</t>
  </si>
  <si>
    <t>FA CASE REPORT _IOT FA Case Details.xlsx | FA Details | row 24</t>
  </si>
  <si>
    <t>RFA-000127</t>
  </si>
  <si>
    <t>FA-0779323</t>
  </si>
  <si>
    <t>Source mode: Workmanship; Source code: Mechanical; Root-cause code: Fault Isolated | Source mode: Non-Suspected bad HW; Source code: Not Received; Root-cause code: Fault Isolated - 700-119177-01</t>
  </si>
  <si>
    <t>FA CASE REPORT _IOT FA Case Details.xlsx | FA Details | row 25; FA CASE REPORT _IOT FA Case Details.xlsx | FA Details | row 201</t>
  </si>
  <si>
    <t>RFA-000128</t>
  </si>
  <si>
    <t>FA-0855723</t>
  </si>
  <si>
    <t>worknabship</t>
  </si>
  <si>
    <t>FA CASE REPORT _IOT FA Case Details.xlsx | FA Details | row 26</t>
  </si>
  <si>
    <t>RFA-000146</t>
  </si>
  <si>
    <t>Source mode: Workmanship; Source code: Mechanical; Category: HW Fail - Boot Up; Root-cause code: Fault Isolated - 700-112010-01</t>
  </si>
  <si>
    <t>FA CASE REPORT _IOT FA Case Details.xlsx | FA Details | row 263</t>
  </si>
  <si>
    <t>RFA-000129</t>
  </si>
  <si>
    <t>Source mode: Workmanship; Source code: Mechanical; Root-cause code: Fault Isolated - 700-119177-01</t>
  </si>
  <si>
    <t>FA CASE REPORT _IOT FA Case Details.xlsx | FA Details | row 27</t>
  </si>
  <si>
    <t>RFA-000147</t>
  </si>
  <si>
    <t>Source mode: Workmanship; Source code: Open/Short Circuit (Non-Solder); Category: HW Fail - Boot Up; Root-cause code: Fault Isolated - 74-128447-03</t>
  </si>
  <si>
    <t>FA CASE REPORT _IOT FA Case Details.xlsx | FA Details | row 275</t>
  </si>
  <si>
    <t>RFA-000130</t>
  </si>
  <si>
    <t>FA CASE REPORT _IOT FA Case Details.xlsx | FA Details | row 28</t>
  </si>
  <si>
    <t>RFA-000131</t>
  </si>
  <si>
    <t>Source mode: Workmanship; Source code: Cosmetic; Category: HW Fail - Other; Root-cause code: Fault Isolated</t>
  </si>
  <si>
    <t>FA CASE REPORT _IOT FA Case Details.xlsx | FA Details | row 29</t>
  </si>
  <si>
    <t>RFA-000148</t>
  </si>
  <si>
    <t>FA CASE REPORT _IOT FA Case Details.xlsx | FA Details | row 297</t>
  </si>
  <si>
    <t>RFA-000149</t>
  </si>
  <si>
    <t>FA CASE REPORT _IOT FA Case Details.xlsx | FA Details | row 334</t>
  </si>
  <si>
    <t>RFA-000150</t>
  </si>
  <si>
    <t>FA CASE REPORT _IOT FA Case Details.xlsx | FA Details | row 356</t>
  </si>
  <si>
    <t>RFA-000151</t>
  </si>
  <si>
    <t>Source mode: Workmanship; Source code: Open/Short Circuit (Non-Solder); Category: HW Fail - Power; Root-cause code: Fault Isolated - 47-109158-01</t>
  </si>
  <si>
    <t>FA CASE REPORT _IOT FA Case Details.xlsx | FA Details | row 382</t>
  </si>
  <si>
    <t>RFA-000132</t>
  </si>
  <si>
    <t>Source mode: Workmanship; Source code: Mechanical; Category: HW Fail - Boot Up; Root-cause code: Fault Isolated - 73-105758-04</t>
  </si>
  <si>
    <t>FA CASE REPORT _IOT FA Case Details.xlsx | FA Details | row 69</t>
  </si>
  <si>
    <t>RFA-000133</t>
  </si>
  <si>
    <t>Source mode: Workmanship; Source code: Mechanical; Category: HW Fail - Boot Up; Root-cause code: Fault Isolated - 29-6610-01</t>
  </si>
  <si>
    <t>FA CASE REPORT _IOT FA Case Details.xlsx | FA Details | row 77</t>
  </si>
  <si>
    <t>RFA-000134</t>
  </si>
  <si>
    <t>Source mode: Workmanship; Source code: Open/Short Circuit (Non-Solder); Category: HW Fail - Power; Root-cause code: Fault Isolated</t>
  </si>
  <si>
    <t>FA CASE REPORT _IOT FA Case Details.xlsx | FA Details | row 84</t>
  </si>
  <si>
    <t>RFA-000152</t>
  </si>
  <si>
    <t>Equipment failure</t>
  </si>
  <si>
    <t>Unverified; Failed=57; Total=387</t>
  </si>
  <si>
    <t>Root cause: 1. TIMING CARD CLK INT TRAF TEST LTHV*13, 1) 9pcs: It’s identified the failures are related to old test timing cards unstable in 2C test. 2) 4pcs: known Broardcom PHY (15-105184-01) related issue. Keeps ~1% failure ra...</t>
  </si>
  <si>
    <t>PPR REPORT _ FDO IOTBU.xlsx | RCCA | row 4</t>
  </si>
  <si>
    <t>RFA-000056</t>
  </si>
  <si>
    <t>/</t>
  </si>
  <si>
    <t>ECO implementation</t>
  </si>
  <si>
    <t>Conflict</t>
  </si>
  <si>
    <t>Source code: Design; Root cause: Background: From Mar-18, FDO Rio SCC BST test detected POE voltages below lower limit 46V (fail: 45.7~45.8V). Same failure found on Rio SCC and Rio SCC respin units which used TI component 15-13401-01/OPA4330AIPWR on... | Source code: Cisco BOM/TANMAP issue; Root cause: Background: On Apr-11, DF reported Clarke 68-103191-05 PID VID check fail issue, it's set 'V02' in Cisco Agile for latest EA617080, while it's 'V01' labelled and set for physical goods. Status: LA (Line Alert). Action... | Source code: NA; Root cause: Background: On June 21, Cisco informed FDO that one end customer required for one Alarm Wire Entry Block (27-2197-01) supplement due to the b...</t>
  </si>
  <si>
    <t>PPR REPORT _ FDO IOTBU.xlsx | SCQO | row 14; PPR REPORT _ FDO IOTBU.xlsx | SCQO | row 16; PPR REPORT _ FDO IOTBU.xlsx | SCQO | row 17; PPR REPORT _ FDO IOTBU.xlsx | SCQO | row 19; PPR REPORT _ FDO IOTBU.xlsx | SCQO | row 20; PPR REPORT _ FDO IOTBU.xlsx | SCQO | row 21</t>
  </si>
  <si>
    <t>Confirm factory causation and proposed classification. Resolve the source date conflict. Provide a positive whole-unit failed quantity.</t>
  </si>
  <si>
    <t>Narrative Failed Units Conflict</t>
  </si>
  <si>
    <t>45; 2; 64; 15</t>
  </si>
  <si>
    <t>Choose the issue-level failed quantity from the competing labeled narrative values.</t>
  </si>
  <si>
    <t>RFA-000055</t>
  </si>
  <si>
    <t>CE-1315</t>
  </si>
  <si>
    <t>Source code: Material quality; Root cause: Background: Cisco received some GPS fail reported from field, and sent some faillure GPS antenna 07-100638-01 to supplier for FA, supplier's FA indicated the failure due to loose connection or poor solderability on th... | Source mode: Component Supplier:Method; Root-cause code: Component Supplier(Product Design Margin Issue); Root cause: What?: * Impacted p/n: 07-100638-01 from Yago * Lot code / date codes: everything since NPI release. * FR: Duke: 46cases, First Energy: 39cases, Itron 4cases, = total 89 cases / Ship Base 6568 = 1.36% * Containment ac...</t>
  </si>
  <si>
    <t>PPR REPORT _ FDO IOTBU.xlsx | SCQO | row 8; SCQO REPORT 01-01-24 to 07-21-26.xlsx | Sheet1 | row 103</t>
  </si>
  <si>
    <t>Resolve conflicting in-scope and out-of-scope source classifications. Resolve the source date conflict. Provide a positive whole-unit failed quantity.</t>
  </si>
  <si>
    <t>184; 15; 8</t>
  </si>
  <si>
    <t>RFA-000201</t>
  </si>
  <si>
    <t>Category: Re-assembly; Root cause: SE can duplicate the issue in Lab. No issue was found after check HW then SE re-assembly the DIMM, the unit can power on OK. But no obvious assy gap was found on DIMM</t>
  </si>
  <si>
    <t>PPR REPORT _ FOXCONN WNBU.xlsx | FOC RMA | row 250</t>
  </si>
  <si>
    <t>RFA-000202</t>
  </si>
  <si>
    <t>PPR REPORT _ FOXCONN WNBU.xlsx | FOC RMA | row 272</t>
  </si>
  <si>
    <t>FTX received few Calabria 68-4424 units with genealogy issue on PSU SN mismatched. For example: the FOC24462XH8 genealogy from FOL shows the PSU to be LIT244526KV, but in the test logs(and the physical SN label on the PSU) reporting the PSU SN is LIT244526NF. 
No WIP and FGs in FOL for sorting.
This is single(few Qty) case and random happen, no affected range for OF to do screening.
DF has coverage for this case, no risk for flowing to field.
PSU SN is linked with chassis SN during BST test.
Take this case as a lesson learned, required OP to remark the status on the chassis if any rework was applied.
Optimized our process to require OP scrap the compliance label if any disassembly required. In this case, OP has to re-print the label, which will invalid the previous test record and forced re-test. our system will route it to test BST.OP published Blue-Q in ASSY station for this action
Before disassemble 68-4424-05, cross out the label. then re-print new label. 
Possible root cause for PSU SN mismatch: OP changed PSU after BST but didn't retest.
FOC24462XH8 passed all stations smoothly at FOL. This unit should be reworked due to cosmetic issue.
This unit was manufactured about half a year ago, OP can't recall the history.
FOL has daily training for OP and everyone knows Cisco policy that we should retest the unit if any component change. The most possible scenario is assembly OP replaced the PSU, then send to BST for retest, but BST OP mixed the unit(maybe due to shift change). Then BST OP check the status for this unit, it passed BST, so it was moved to next station.</t>
  </si>
  <si>
    <t>PPR REPORT _ FTX IOTBU | FA</t>
  </si>
  <si>
    <t>Date prior to 2024 (2020)</t>
  </si>
  <si>
    <t>RFA-000003</t>
  </si>
  <si>
    <t>Verified</t>
  </si>
  <si>
    <t>Category: ABORTED BY X; Root-cause code: Operator; Root cause: Tested in wrong container.</t>
  </si>
  <si>
    <t>PPR REPORT _ FTX IOTBU.xlsx | tracker | row 8</t>
  </si>
  <si>
    <t>Confirm factory causation and proposed classification. Select a supported Failure Code. Provide a positive whole-unit failed quantity.</t>
  </si>
  <si>
    <t>RFA-000004</t>
  </si>
  <si>
    <t>PPR REPORT _ FTX IOTBU.xlsx | tracker | row 9</t>
  </si>
  <si>
    <t>RFA-000046</t>
  </si>
  <si>
    <t>Fiscal Quarter; Failed=2; Total=368</t>
  </si>
  <si>
    <t>Source mode: operator; Root cause: 1.The operator did not press the reset button for more than 5 seconds, causing the test to fail.</t>
  </si>
  <si>
    <t>PPR REPORT _ FVN IOTBU.xlsx | ETE Action Tracking | row 161</t>
  </si>
  <si>
    <t>Confirm factory causation and proposed classification. Select a supported Failure Code.</t>
  </si>
  <si>
    <t>RFA-000028</t>
  </si>
  <si>
    <t>Fiscal Quarter; Failed=2; Total=68</t>
  </si>
  <si>
    <t>Source mode: Setup; Root cause: 6pcs power connectors are worn. The operator failed to fully install the power cable due to worn. Causing the unit cannot boot rommon.</t>
  </si>
  <si>
    <t>PPR REPORT _ FVN IOTBU.xlsx | ETE Action Tracking | row 17</t>
  </si>
  <si>
    <t>RFA-000051</t>
  </si>
  <si>
    <t>Assembly error</t>
  </si>
  <si>
    <t>Fiscal Quarter; Failed=11; Total=159</t>
  </si>
  <si>
    <t>Source mode: Workmanship; Root cause: 1.Suspect the issue cause by MFG heater assembly variation. 2. Found some heater loose issue, not sure if it a contribution for this failure.</t>
  </si>
  <si>
    <t>PPR REPORT _ FVN IOTBU.xlsx | ETE Action Tracking | row 193</t>
  </si>
  <si>
    <t>RFA-000052</t>
  </si>
  <si>
    <t>Fiscal Quarter; Failed=1; Total=159</t>
  </si>
  <si>
    <t>Source mode: Workmanship; Root cause: Due to incorrect handling during the connection of the main board to the LED board, the flat cable was defective.</t>
  </si>
  <si>
    <t>PPR REPORT _ FVN IOTBU.xlsx | ETE Action Tracking | row 196</t>
  </si>
  <si>
    <t>RFA-000053</t>
  </si>
  <si>
    <t>Source mode: Workmanship; Root cause: 1. The unit could not power on, and the power issue was intermittent. 2. After disassembling the top cover, the power cable was found pressing against the PCBA. 3. Reassembled the power cable and resolved the issue.</t>
  </si>
  <si>
    <t>PPR REPORT _ FVN IOTBU.xlsx | ETE Action Tracking | row 197</t>
  </si>
  <si>
    <t>RFA-000054</t>
  </si>
  <si>
    <t>Fiscal Quarter; Failed=14; Total=255</t>
  </si>
  <si>
    <t>Source mode: Workmanship; Root cause: Caused by assemble steps of the heater</t>
  </si>
  <si>
    <t>PPR REPORT _ FVN IOTBU.xlsx | ETE Action Tracking | row 214</t>
  </si>
  <si>
    <t>RFA-000029</t>
  </si>
  <si>
    <t>Fiscal Quarter; Failed=9; Total=119</t>
  </si>
  <si>
    <t>Source mode: OP; Root cause: An error occurred during the program writing process at the ICT. The MB board cookie data programed wrong at ICT station because ICT engineer selected wrong program from the local computer instead of the server when t...</t>
  </si>
  <si>
    <t>PPR REPORT _ FVN IOTBU.xlsx | ETE Action Tracking | row 22</t>
  </si>
  <si>
    <t>RFA-000037</t>
  </si>
  <si>
    <t>Fiscal Quarter; Failed=2; Total=246</t>
  </si>
  <si>
    <t>Source mode: Operator; Root cause: 1.Did not receive the correct result after sending the test command. 2.FVH2941LG7F,Operator scanned incorrectly, should have scanned R (red), but scanned A (amber) instead, resulting in failure. 3.FVH2942LEK9,Dropped...</t>
  </si>
  <si>
    <t>PPR REPORT _ FVN IOTBU.xlsx | ETE Action Tracking | row 57</t>
  </si>
  <si>
    <t>RFA-000153</t>
  </si>
  <si>
    <t>Unverified; Failed=1; Total=203</t>
  </si>
  <si>
    <t>Source mode: OPERATOR_PROCESS; Root cause: It cann't detect the M2-USB info while running the command "lsblk".</t>
  </si>
  <si>
    <t>PPR REPORT _ FVT SRGBU.xlsx | FVT_PPR_TRACKER | row 10</t>
  </si>
  <si>
    <t>Confirm factory causation and proposed classification. Select a supported Failure Code. Confirm the incident falls within 2024-01-01 through 2026-07-31.</t>
  </si>
  <si>
    <t>RFA-000168</t>
  </si>
  <si>
    <t>Unverified; Failed=3; Total=331</t>
  </si>
  <si>
    <t>Source mode: OPERATOR_PROCESS Hardware; Root cause: 1) WIFI antenna cable bad [personal-info-redacted]</t>
  </si>
  <si>
    <t>PPR REPORT _ FVT SRGBU.xlsx | FVT_PPR_TRACKER | row 100</t>
  </si>
  <si>
    <t>RFA-000169</t>
  </si>
  <si>
    <t>Unverified; Failed=5; Total=350</t>
  </si>
  <si>
    <t>Source mode: OPERATOR_PROCESS/ Hardware; Root cause: 1) WIFI antenna cable bad [personal-info-redacted], boot up fail.</t>
  </si>
  <si>
    <t>PPR REPORT _ FVT SRGBU.xlsx | FVT_PPR_TRACKER | row 108</t>
  </si>
  <si>
    <t>RFA-000154</t>
  </si>
  <si>
    <t>Unverified; Failed=1; Total=38</t>
  </si>
  <si>
    <t>Source mode: OP; Root cause: The operator print two labels for the same chassis and paste one of them to another chassis, which leading SN mismatch when testing SYSFT.</t>
  </si>
  <si>
    <t>PPR REPORT _ FVT SRGBU.xlsx | FVT_PPR_TRACKER | row 11</t>
  </si>
  <si>
    <t>RFA-000170</t>
  </si>
  <si>
    <t>Unverified; Failed=5; Total=706</t>
  </si>
  <si>
    <t>Source mode: OP; Root cause: 1) FVT2911L2JJ. Scanned P-LTEA-LA module with SN. FOC29060MQA and FOC29060MCS but insterted FOC29060M2K and FOC29060LV4 2) FVT2911L2J2. P-LTEA-LA module with SN FOC29060LQ3 and FOC29060MML but inserted FOC29060MQL and...</t>
  </si>
  <si>
    <t>PPR REPORT _ FVT SRGBU.xlsx | FVT_PPR_TRACKER | row 113</t>
  </si>
  <si>
    <t>RFA-000171</t>
  </si>
  <si>
    <t>Unverified; Failed=2; Total=110</t>
  </si>
  <si>
    <t>Source mode: OP; Root cause: Operator scanned module P-LTE-GB with SN. FVH290751EN but inserted FVH290751DQ</t>
  </si>
  <si>
    <t>PPR REPORT _ FVT SRGBU.xlsx | FVT_PPR_TRACKER | row 122</t>
  </si>
  <si>
    <t>RFA-000172</t>
  </si>
  <si>
    <t>Unverified</t>
  </si>
  <si>
    <t>Source mode: OP; Root cause: The operator scanned Module with SN. FOC29150895 but insterted another module with SN. FOC2915084P</t>
  </si>
  <si>
    <t>PPR REPORT _ FVT SRGBU.xlsx | FVT_PPR_TRACKER | row 157</t>
  </si>
  <si>
    <t>Confirm factory causation and proposed classification. Select a supported Failure Code. Confirm the incident falls within 2024-01-01 through 2026-07-31. Provide a positive whole-unit failed quantity.</t>
  </si>
  <si>
    <t>RFA-000155</t>
  </si>
  <si>
    <t>Unverified; Failed=1; Total=62</t>
  </si>
  <si>
    <t>Source mode: OP; Root cause: The operator scan wrong serial number when it scan network module.</t>
  </si>
  <si>
    <t>PPR REPORT _ FVT SRGBU.xlsx | FVT_PPR_TRACKER | row 17</t>
  </si>
  <si>
    <t>RFA-000156</t>
  </si>
  <si>
    <t>Unverified; Failed=1; Total=275</t>
  </si>
  <si>
    <t>Source mode: OPERATOR_PROCESS; Root cause: The SSD module was shown booting status in IOS, it shoud be shown ok when the module work normally.</t>
  </si>
  <si>
    <t>PPR REPORT _ FVT SRGBU.xlsx | FVT_PPR_TRACKER | row 18</t>
  </si>
  <si>
    <t>RFA-000173</t>
  </si>
  <si>
    <t>Unverified; Failed=1; Total=3</t>
  </si>
  <si>
    <t>Source mode: OP; Root cause: has poor barcode printing on POD label at Hi-pot station. The staff in charge of the packaging section saw that there was a printer at workstation 070 and mistakenly believed that workstation 070 could print, resultin...</t>
  </si>
  <si>
    <t>PPR REPORT _ FVT SRGBU.xlsx | FVT_PPR_TRACKER | row 183</t>
  </si>
  <si>
    <t>RFA-000174</t>
  </si>
  <si>
    <t>Source mode: OPERATOR_PROCESS; Root cause: Pluggable interface module cannot be detected</t>
  </si>
  <si>
    <t>PPR REPORT _ FVT SRGBU.xlsx | FVT_PPR_TRACKER | row 193</t>
  </si>
  <si>
    <t>RFA-000175</t>
  </si>
  <si>
    <t>Unverified; Failed=6; Total=169</t>
  </si>
  <si>
    <t>Source mode: OPERATOR_PROCESS; Root cause: WIFI antenna cable bad contact</t>
  </si>
  <si>
    <t>PPR REPORT _ FVT SRGBU.xlsx | FVT_PPR_TRACKER | row 195</t>
  </si>
  <si>
    <t>Confirm factory causation and proposed classification. Select a supported Failure Code. Confirm the incident falls within 2024-01-01 through 2026-07-31.
Not enough data entered into tracker</t>
  </si>
  <si>
    <t>RFA-000157</t>
  </si>
  <si>
    <t>Unverified; Failed=1; Total=418</t>
  </si>
  <si>
    <t>Source mode: OP; Root cause: The synchronizer is abnormal： 1. The problem was found through the log. When the 050 station was assembled to scan the POE module, 74-122703-0O was scanned, and the correct value was 74-122703-01. 2. After cross-verif...</t>
  </si>
  <si>
    <t>PPR REPORT _ FVT SRGBU.xlsx | FVT_PPR_TRACKER | row 20</t>
  </si>
  <si>
    <t>RFA-000176</t>
  </si>
  <si>
    <t>Source mode: OPERATOR_PROCESS; Root cause: The employee placed the FVT2920L86Y in cell 11 for testing and accidentally plugged the power cord of cell 14 into the machine of cell 11.</t>
  </si>
  <si>
    <t>PPR REPORT _ FVT SRGBU.xlsx | FVT_PPR_TRACKER | row 200</t>
  </si>
  <si>
    <t>Confirm the incident falls within 2024-01-01 through 2026-07-31. Provide a positive whole-unit failed quantity.</t>
  </si>
  <si>
    <t>RFA-000177</t>
  </si>
  <si>
    <t>Source mode: OPERATOR_PROCESS; Root cause: When the employee was operating the upper and lower layers (CELL), one SN scanned two test CELLs, resulting in poor operation.</t>
  </si>
  <si>
    <t>PPR REPORT _ FVT SRGBU.xlsx | FVT_PPR_TRACKER | row 211</t>
  </si>
  <si>
    <t>RFA-000178</t>
  </si>
  <si>
    <t>Unverified; Failed=2; Total=704</t>
  </si>
  <si>
    <t>Source mode: OPERATOR_PROCESS; Root cause: The product was placed in cell03 for testing. When plugging in the power cord, the power cord of cell 05 was mistakenly plugged into the machine of cell03.</t>
  </si>
  <si>
    <t>PPR REPORT _ FVT SRGBU.xlsx | FVT_PPR_TRACKER | row 214</t>
  </si>
  <si>
    <t>RFA-000180</t>
  </si>
  <si>
    <t>Unverified; Failed=1; Total=72</t>
  </si>
  <si>
    <t>Source mode: OPERATOR_PROCESS; Root cause: The product was placed in cell04. When the employee lifted the machine to scan, he mistakenly scanned the SN of the machine in cell02.</t>
  </si>
  <si>
    <t>PPR REPORT _ FVT SRGBU.xlsx | FVT_PPR_TRACKER | row 223</t>
  </si>
  <si>
    <t>RFA-000179</t>
  </si>
  <si>
    <t>Unverified; Failed=3; Total=152</t>
  </si>
  <si>
    <t>PPR REPORT _ FVT SRGBU.xlsx | FVT_PPR_TRACKER | row 219</t>
  </si>
  <si>
    <t>RFA-000181</t>
  </si>
  <si>
    <t>Unverified; Failed=3; Total=31</t>
  </si>
  <si>
    <t>Source mode: OPERATOR_PROCESS; Root cause: There was sticker residue in the hole of the panel sticker reset key. When checking the reset key, the 030 station employee accidentally pushed the residue into the machine. The residue pressed against the reset key.</t>
  </si>
  <si>
    <t>PPR REPORT _ FVT SRGBU.xlsx | FVT_PPR_TRACKER | row 225</t>
  </si>
  <si>
    <t>RFA-000182</t>
  </si>
  <si>
    <t>Unverified; Failed=8; Total=608</t>
  </si>
  <si>
    <t>Source mode: OPERATOR_PROCESS; Root cause: Module SN checking at FST is mismatch with assembly record. Assembled module physical SN. FOC292103HM, system scan SN. FOC292103HC</t>
  </si>
  <si>
    <t>PPR REPORT _ FVT SRGBU.xlsx | FVT_PPR_TRACKER | row 234</t>
  </si>
  <si>
    <t>RFA-000183</t>
  </si>
  <si>
    <t>Source mode: OPERATOR_PROCESS; Root cause: PIM interface module cannot be detected</t>
  </si>
  <si>
    <t>PPR REPORT _ FVT SRGBU.xlsx | FVT_PPR_TRACKER | row 236</t>
  </si>
  <si>
    <t>RFA-000184</t>
  </si>
  <si>
    <t>Unverified; Failed=3; Total=9</t>
  </si>
  <si>
    <t>Source mode: OPERATOR_PROCESS; Root cause: Order book ESIM card but operator not to test in barney station and install ESIM card</t>
  </si>
  <si>
    <t>PPR REPORT _ FVT SRGBU.xlsx | FVT_PPR_TRACKER | row 238</t>
  </si>
  <si>
    <t>RFA-000185</t>
  </si>
  <si>
    <t>Unverified; Failed=26; Total=690</t>
  </si>
  <si>
    <t>PPR REPORT _ FVT SRGBU.xlsx | FVT_PPR_TRACKER | row 248</t>
  </si>
  <si>
    <t>RFA-000186</t>
  </si>
  <si>
    <t>Unverified; Failed=2; Total=263</t>
  </si>
  <si>
    <t>PPR REPORT _ FVT SRGBU.xlsx | FVT_PPR_TRACKER | row 251</t>
  </si>
  <si>
    <t>RFA-000187</t>
  </si>
  <si>
    <t>Unverified; Failed=2; Total=55</t>
  </si>
  <si>
    <t>PPR REPORT _ FVT SRGBU.xlsx | FVT_PPR_TRACKER | row 253</t>
  </si>
  <si>
    <t>RFA-000188</t>
  </si>
  <si>
    <t>Unverified; Failed=1; Total=36</t>
  </si>
  <si>
    <t>PPR REPORT _ FVT SRGBU.xlsx | FVT_PPR_TRACKER | row 263</t>
  </si>
  <si>
    <t>RFA-000189</t>
  </si>
  <si>
    <t>Unverified; Failed=1; Total=486</t>
  </si>
  <si>
    <t>Source mode: OPERATOR_PROCESS; Root cause: After power on hipot machine, OP touch to safe sensor made hipot machine turn off and show check hipot machine status remind but they retried it arbitrary</t>
  </si>
  <si>
    <t>PPR REPORT _ FVT SRGBU.xlsx | FVT_PPR_TRACKER | row 279</t>
  </si>
  <si>
    <t>RFA-000190</t>
  </si>
  <si>
    <t>PPR REPORT _ FVT SRGBU.xlsx | FVT_PPR_TRACKER | row 306</t>
  </si>
  <si>
    <t>RFA-000191</t>
  </si>
  <si>
    <t>Unverified; Failed=1; Total=137</t>
  </si>
  <si>
    <t>Source mode: OPERATOR_PROCESS; Root cause: Module can't boot up, *** Fatal error: ERROR in act2_drv_write PLUGGABLE Slot 1 test</t>
  </si>
  <si>
    <t>PPR REPORT _ FVT SRGBU.xlsx | FVT_PPR_TRACKER | row 311</t>
  </si>
  <si>
    <t>RFA-000192</t>
  </si>
  <si>
    <t>Unverified; Failed=1; Total=41</t>
  </si>
  <si>
    <t>PPR REPORT _ FVT SRGBU.xlsx | FVT_PPR_TRACKER | row 312</t>
  </si>
  <si>
    <t>RFA-000193</t>
  </si>
  <si>
    <t>PPR REPORT _ FVT SRGBU.xlsx | FVT_PPR_TRACKER | row 338</t>
  </si>
  <si>
    <t>RFA-000194</t>
  </si>
  <si>
    <t>Unverified; Failed=2; Total=1126</t>
  </si>
  <si>
    <t>Source mode: OPERATOR_PROCESS; Root cause: POE card detect fail.</t>
  </si>
  <si>
    <t>PPR REPORT _ FVT SRGBU.xlsx | FVT_PPR_TRACKER | row 339</t>
  </si>
  <si>
    <t>RFA-000195</t>
  </si>
  <si>
    <t>Source mode: OPERATOR_PROCESS; Root cause: Not detect the M2 module in machine. promethium-diag# lsblk /dev/ lsblk: /dev/: not a block device promethium-diag#</t>
  </si>
  <si>
    <t>PPR REPORT _ FVT SRGBU.xlsx | FVT_PPR_TRACKER | row 344</t>
  </si>
  <si>
    <t>RFA-000196</t>
  </si>
  <si>
    <t>Source mode: OPERATOR_PROCESS; Root cause: Operator install the incorrect part number of POE at assembly 050 station.(SN: FVH294129A9 PN: 74-133417-01)</t>
  </si>
  <si>
    <t>PPR REPORT _ FVT SRGBU.xlsx | FVT_PPR_TRACKER | row 348</t>
  </si>
  <si>
    <t>RFA-000158</t>
  </si>
  <si>
    <t>Unverified; Failed=2; Total=84</t>
  </si>
  <si>
    <t>PPR REPORT _ FVT SRGBU.xlsx | FVT_PPR_TRACKER | row 36</t>
  </si>
  <si>
    <t>RFA-000197</t>
  </si>
  <si>
    <t>Unverified; Failed=1; Total=179</t>
  </si>
  <si>
    <t>Source mode: OPERATOR_PROCESS; Root cause: PIM module cannot boot up.</t>
  </si>
  <si>
    <t>PPR REPORT _ FVT SRGBU.xlsx | FVT_PPR_TRACKER | row 361</t>
  </si>
  <si>
    <t>RFA-000159</t>
  </si>
  <si>
    <t>Source mode: OP; Root cause: Time. 2024-12-22 04.15.01 Station. PCBU Assembly 090 Operator scan pim module which sn is FOC28450KU7, but install another pim module(FOC28450KS6) into unit.</t>
  </si>
  <si>
    <t>PPR REPORT _ FVT SRGBU.xlsx | FVT_PPR_TRACKER | row 37</t>
  </si>
  <si>
    <t>RFA-000198</t>
  </si>
  <si>
    <t>Unverified; Failed=1; Total=467</t>
  </si>
  <si>
    <t>PPR REPORT _ FVT SRGBU.xlsx | FVT_PPR_TRACKER | row 381</t>
  </si>
  <si>
    <t>RFA-000160</t>
  </si>
  <si>
    <t>Unverified; Failed=2; Total=39</t>
  </si>
  <si>
    <t>PPR REPORT _ FVT SRGBU.xlsx | FVT_PPR_TRACKER | row 39</t>
  </si>
  <si>
    <t>RFA-000161</t>
  </si>
  <si>
    <t>PPR REPORT _ FVT SRGBU.xlsx | FVT_PPR_TRACKER | row 40</t>
  </si>
  <si>
    <t>RFA-000199</t>
  </si>
  <si>
    <t>Unverified; Failed=1; Total=204</t>
  </si>
  <si>
    <t>PPR REPORT _ FVT SRGBU.xlsx | FVT_PPR_TRACKER | row 430</t>
  </si>
  <si>
    <t>RFA-000200</t>
  </si>
  <si>
    <t>Unverified; Failed=1; Total=103</t>
  </si>
  <si>
    <t>Source mode: OPERATOR_PROCESS; Root cause: Modem cannot be detected in IOS</t>
  </si>
  <si>
    <t>PPR REPORT _ FVT SRGBU.xlsx | FVT_PPR_TRACKER | row 431</t>
  </si>
  <si>
    <t>RFA-000162</t>
  </si>
  <si>
    <t>Unverified; Failed=2; Total=107</t>
  </si>
  <si>
    <t>Source mode: Testing OPERATOR_PROCESS; Root cause: 1)Modem of PIM cannot update firmware 2)WIFI antenna cable bad contact</t>
  </si>
  <si>
    <t>PPR REPORT _ FVT SRGBU.xlsx | FVT_PPR_TRACKER | row 51</t>
  </si>
  <si>
    <t>RFA-000163</t>
  </si>
  <si>
    <t>Unverified; Failed=1; Total=82</t>
  </si>
  <si>
    <t>PPR REPORT _ FVT SRGBU.xlsx | FVT_PPR_TRACKER | row 53</t>
  </si>
  <si>
    <t>RFA-000164</t>
  </si>
  <si>
    <t>Unverified; Failed=1; Total=480</t>
  </si>
  <si>
    <t>Source mode: OPERATOR_PROCESS; Root cause: Cable of CISCO LED bad contact</t>
  </si>
  <si>
    <t>PPR REPORT _ FVT SRGBU.xlsx | FVT_PPR_TRACKER | row 55</t>
  </si>
  <si>
    <t>RFA-000165</t>
  </si>
  <si>
    <t>PPR REPORT _ FVT SRGBU.xlsx | FVT_PPR_TRACKER | row 63</t>
  </si>
  <si>
    <t>RFA-000166</t>
  </si>
  <si>
    <t>Unverified; Failed=2; Total=49</t>
  </si>
  <si>
    <t>Source mode: OP; Root cause: Operator scan wrong chassis SN</t>
  </si>
  <si>
    <t>PPR REPORT _ FVT SRGBU.xlsx | FVT_PPR_TRACKER | row 78</t>
  </si>
  <si>
    <t>RFA-000167</t>
  </si>
  <si>
    <t>Unverified; Failed=2; Total=31</t>
  </si>
  <si>
    <t>Source mode: OP; Root cause: When testing scanning operations, employees did not check whether the scanned CELL prompted by the system was consistent with the corresponding machine SN, resulting in SN scanning error test fail.</t>
  </si>
  <si>
    <t>PPR REPORT _ FVT SRGBU.xlsx | FVT_PPR_TRACKER | row 95</t>
  </si>
  <si>
    <t>Failure Code Missing</t>
  </si>
  <si>
    <t>Select a supported Failure Code.</t>
  </si>
  <si>
    <t>RFA-000008</t>
  </si>
  <si>
    <t>CE-1296</t>
  </si>
  <si>
    <t>Source mode: EMS Partner/BTS:Man; Root-cause code: EMS Partner/BTS(Human Error (mishandling, improper handling, fatigue/tired, etc.)); Root cause: What?: FJZ shipped C9800-80-K9 with wrong compliance label. label 47-105057-01 was used instead of 47-105863-01.; &lt;br/&gt;@[email-redacted]:,; Manufacturing:Manufacturing Process (parameters, fixture, tooling, work instr...</t>
  </si>
  <si>
    <t>SCQO REPORT 01-01-24 to 07-21-26.xlsx | Sheet1 | row 112</t>
  </si>
  <si>
    <t>Provide a positive whole-unit failed quantity.</t>
  </si>
  <si>
    <t>RFA-000007</t>
  </si>
  <si>
    <t>ORT-1116</t>
  </si>
  <si>
    <t>Source mode: EMS Partner/BTS:Machine (Equipment, Tool, Jig, Fixture); Root-cause code: EMS Partner/BTS(No/Improper Maintenance); Root cause: What?: DAO C9800-80-K9 failed eORT. s/n:FOX2746P417. failed symptom: TEST64 CPP DEVICE. Failure pointed to Atris p/n:15-12417-03. Renasas FA confirmed NTF. X-section confirmed HIP failure.; &lt;br/&gt;@00uendlh7cjaxusld5d7:...</t>
  </si>
  <si>
    <t>SCQO REPORT 01-01-24 to 07-21-26.xlsx | Sheet1 | row 120</t>
  </si>
  <si>
    <t>RFA-000006</t>
  </si>
  <si>
    <t>APD-1098</t>
  </si>
  <si>
    <t>Source mode: EMS Partner/BTS:Machine (Equipment, Tool, Jig, Fixture); Root-cause code: EMS Partner/BTS(No/Improper Machine Setup/Parameter); Root cause: What?: SMT incorrect traceability on Dao failures issue including Kahuna model which use the common component of CPN 15-12417-03; &lt;br/&gt;@00uendlh7cjaxusld5d7:, &lt;br/&gt;@00uendlh7cjaxusld5d7:,; Manufacturing:Manufacturing...</t>
  </si>
  <si>
    <t>SCQO REPORT 01-01-24 to 07-21-26.xlsx | Sheet1 | row 121</t>
  </si>
  <si>
    <t>RFA-000005</t>
  </si>
  <si>
    <t>MY-1723</t>
  </si>
  <si>
    <t>Source mode: EMS Partner/BTS:Machine (Equipment, Tool, Jig, Fixture); Root-cause code: EMS Partner/BTS(No/Improper Machine Setup/Parameter); Root cause: What?: WNBU DAO Pilot Qualification build had found high fallout at ICT (9 pcs), P2 (6 pcs) and e-ORT (1 pc) related to Atris IC-DRAM. Eventual X-Section FA had confirmed HiP open joints failure. CPN: 15-12417-03 Desc...</t>
  </si>
  <si>
    <t>SCQO REPORT 01-01-24 to 07-21-26.xlsx | Sheet1 | row 126</t>
  </si>
  <si>
    <t>9; 6; 1</t>
  </si>
  <si>
    <t>RFA-000002</t>
  </si>
  <si>
    <t>Source mode: EMS Partner/BTS:Method; Root-cause code: EMS Partner/BTS(No/Improper Process Control); Root cause: What?: 1. 39 SN reported missing ANT-5G-MP-OUT-N from PID IR8140H-K9 2. Missing Battery mount 3. Wrong bolt delivered by the supplier. 4. Console port plug and 2 gray plug installation issue. 5. Security Bracket Packa...</t>
  </si>
  <si>
    <t>SCQO REPORT 01-01-24 to 07-21-26.xlsx | Sheet1 | row 129</t>
  </si>
  <si>
    <t>RFA-000001</t>
  </si>
  <si>
    <t>CW-1155</t>
  </si>
  <si>
    <t>Source mode: EMS Partner/BTS:Method; Root-cause code: EMS Partner/BTS(No/Wrong/Inadequate Documentation/Specification/Procedure/Work Instruction); Root cause: What?: Non-luminous LED diode on the front panel is not turning on.; &lt;br/&gt;@[email-redacted]:RC1: Non- evaluated as a potencial risk during the PILOT phase of product ( orientation of cable wasn t mentioned in SOP )RC2...</t>
  </si>
  <si>
    <t>SCQO REPORT 01-01-24 to 07-21-26.xlsx | Sheet1 | row 134</t>
  </si>
  <si>
    <t>RFA-000044</t>
  </si>
  <si>
    <t>Source mode: EMS Partner/BTS:Machine (Equipment, Tool, Jig, Fixture); Root-cause code: EMS Partner/BTS(No/Improper Machine Setup/Parameter); Root cause: What?: The interposer connector at J10A have lifted connector pins, resulting in unstable connection. Customer reported the router rebooted several times for no apparent reason and through FA it was determined this wa...</t>
  </si>
  <si>
    <t>SCQO REPORT 01-01-24 to 07-21-26.xlsx | Sheet1 | row 21</t>
  </si>
  <si>
    <t>RFA-000040</t>
  </si>
  <si>
    <t>Y - question</t>
  </si>
  <si>
    <t>CW-1216</t>
  </si>
  <si>
    <t>Source mode: EMS Partner/BTS:Man; Root-cause code: EMS Partner/BTS(Human Error (mishandling, improper handling, fatigue/tired, etc.)); Root cause: What?: SRGBU C8500-12X V02 - Missing Compliance label information; &lt;br/&gt;@[email-redacted]:,; Manufacturing:Manufacturing Process (parameters, fixture, tooling, work instruction, handling, process control, workmanship,...</t>
  </si>
  <si>
    <t>SCQO REPORT 01-01-24 to 07-21-26.xlsx | Sheet1 | row 29</t>
  </si>
  <si>
    <t>RFA-000050</t>
  </si>
  <si>
    <t>CE-1535</t>
  </si>
  <si>
    <t>Root cause: What?: RA requires all Stratix 2500 units to use RA-specific MAC ranges for integration into their management software (Studio 5000). DNI Thailand (DT3) exhausted the RA MAC range on 11/27/2025 and began using Cisco-d... | Root cause: [PROBLEM]: 1. What?: RA requires all Stratix 2500 units to use RA-specific MAC ranges for integration into their management software (Studio 5000). DNI Thailand (DT3) exhausted the RA MAC range on 11/27/2025 and began...</t>
  </si>
  <si>
    <t>SCQO REPORT 01-01-24 to 07-21-26.xlsx | Sheet1 | row 4; SCQO REPORT 01-01-24 to 07-21-26.xlsx | Sheet1 | row 138</t>
  </si>
  <si>
    <t>Confirm factory causation and proposed classification. Select a supported Failure Code. Provide a positive whole-unit failed quantity.
Issue open recently not enough data available</t>
  </si>
  <si>
    <t>RFA-000024</t>
  </si>
  <si>
    <t>Source mode: EMS Partner/BTS:Method; Root-cause code: EMS Partner/BTS(No/Improper Process Control); Root cause: What?: 1st problem: There are 2 systems of Ramones SN#TTM291002RR and SN#TTM291002RT was mismatched between label deviation on Chassis and Corrected builds of Cisco Deviation DP524687 - The deviation label is DP524688...</t>
  </si>
  <si>
    <t>SCQO REPORT 01-01-24 to 07-21-26.xlsx | Sheet1 | row 45</t>
  </si>
  <si>
    <t>RFA-000023</t>
  </si>
  <si>
    <t>APD-1131</t>
  </si>
  <si>
    <t>Source mode: EMS Partner/BTS:Machine (Equipment, Tool, Jig, Fixture); Root-cause code: EMS Partner/BTS(No/Improper Machine Setup/Parameter); Root cause: What?: 1. ACE MB DDR Memory CPN 15-104643-01 found Hot Tear issue (package separation) 2. Upon further investigation, all the Procyon based PIDs from both SRGBU and WNBU built with Samsung DDR4 (CPN 15-104643-01 / MPN...</t>
  </si>
  <si>
    <t>SCQO REPORT 01-01-24 to 07-21-26.xlsx | Sheet1 | row 48</t>
  </si>
  <si>
    <t>RFA-000022</t>
  </si>
  <si>
    <t>IRSK-1289</t>
  </si>
  <si>
    <t>Source mode: EMS Partner/BTS:Machine (Equipment, Tool, Jig, Fixture); Root-cause code: EMS Partner/BTS(No/Improper Machine Setup/Parameter); Root cause: What?: Fabrinet (NCB) reworking (replacement) of Procyon on PCBA board causing solder separation around the reworked complex area; &lt;br/&gt;@[email-redacted]:Factor related 1) Fixture of rework process improperly2) Profil...</t>
  </si>
  <si>
    <t>SCQO REPORT 01-01-24 to 07-21-26.xlsx | Sheet1 | row 60</t>
  </si>
  <si>
    <t>RFA-000018</t>
  </si>
  <si>
    <t>APD-1122</t>
  </si>
  <si>
    <t>Source mode: EMS Partner/BTS:Man; Root-cause code: EMS Partner/BTS(Human Error (mishandling, improper handling, fatigue/tired, etc.)); Root cause: What?: SRGBU Fugazi new build no boot no message code 0xB2 with wrong component mounted (U30_JTG, PN 15-102981-01).; &lt;br/&gt;@[email-redacted]:Received Label Wrong attached onto the box by swopping both Part numberDue to...</t>
  </si>
  <si>
    <t>SCQO REPORT 01-01-24 to 07-21-26.xlsx | Sheet1 | row 65</t>
  </si>
  <si>
    <t>RFA-000020</t>
  </si>
  <si>
    <t>APD-1120</t>
  </si>
  <si>
    <t>Source mode: EMS Partner/BTS:Method; Root-cause code: EMS Partner/BTS(Change Management Issue (ECO, Deviation, MCN, PCN, etc.)); Root cause: What?: SRGBU Fugazi D601525 and D600482 qualification build wrong shipment. TAN: 68-7001-05 PCB: 73-19748-06 D600482_8fail/10total and D601525_2fail/2total; &lt;br/&gt;@[email-redacted]:-QE unblock mCVT units that are HOLD...</t>
  </si>
  <si>
    <t>SCQO REPORT 01-01-24 to 07-21-26.xlsx | Sheet1 | row 67</t>
  </si>
  <si>
    <t>RFA-000049</t>
  </si>
  <si>
    <t>APD-1162</t>
  </si>
  <si>
    <t>Verified; Failed=357</t>
  </si>
  <si>
    <t>Root cause: What?: On 2026/5/15, Cisco ME on the assembly line discovered that the Sumatra top cover thermal pad was not thermally bonded due to a missed step to heat the copper plate. Part number: 68-102306-06 Copper plate part...</t>
  </si>
  <si>
    <t>SCQO REPORT 01-01-24 to 07-21-26.xlsx | Sheet1 | row 7</t>
  </si>
  <si>
    <t>RFA-000017</t>
  </si>
  <si>
    <t>Source mode: EMS Partner/BTS:Method; Root-cause code: EMS Partner/BTS(No/Improper Process Control); Root cause: What?: Phenomenon: caution label print error Case details: Partner: NET ONE PARTNERS CO.,LTD. End User: JAPAN POST INFORMATION TECHNOLOGY COLTD SR / LNR: LNR-971188 SCQO case#: CE-XXXX (based on your comment I will cr...</t>
  </si>
  <si>
    <t>SCQO REPORT 01-01-24 to 07-21-26.xlsx | Sheet1 | row 75</t>
  </si>
  <si>
    <t>Narrative Total Units Conflict</t>
  </si>
  <si>
    <t>9; 149</t>
  </si>
  <si>
    <t>Choose the issue-level total quantity from the competing labeled narrative values.</t>
  </si>
  <si>
    <t>RFA-000010</t>
  </si>
  <si>
    <t>CW-1179</t>
  </si>
  <si>
    <t>Source mode: EMS Partner/BTS:Man; Root-cause code: EMS Partner/BTS(Human Error (mishandling, improper handling, fatigue/tired, etc.)); Root cause: What?: Brazil Army complaint that there was a divergence between ordered Vs received SN. Customer received: TSP2830ADZB?instead of TSP2830ADLM; &lt;br/&gt;@[email-redacted]:Operator error due to non-adherence to One Piece F...</t>
  </si>
  <si>
    <t>SCQO REPORT 01-01-24 to 07-21-26.xlsx | Sheet1 | row 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</si>
</sst>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m/d/yy;@"/>
  </numFmts>
  <fonts count="15">
    <font>
      <sz val="11"/>
      <name val="Carlito"/>
    </font>
    <font>
      <b/>
      <sz val="11"/>
      <color rgb="FFFFFFFF"/>
      <name val="Carlito"/>
    </font>
    <font>
      <b/>
      <sz val="14"/>
      <color rgb="FFFFFFFF"/>
      <name val="Carlito"/>
    </font>
    <font>
      <sz val="11"/>
      <color theme="1"/>
      <name val="Calibri"/>
      <family val="2"/>
      <scheme val="minor"/>
    </font>
    <font>
      <sz val="11"/>
      <color rgb="FF000000"/>
      <name val="Calibri"/>
      <scheme val="minor"/>
    </font>
    <font>
      <sz val="11"/>
      <color rgb="FF9C0006"/>
      <name val="Calibri"/>
      <scheme val="minor"/>
    </font>
    <font>
      <sz val="11"/>
      <color theme="1"/>
      <name val="Calibri"/>
      <family val="2"/>
      <charset val="134"/>
      <scheme val="minor"/>
    </font>
    <font>
      <sz val="12"/>
      <color theme="1"/>
      <name val="Calibri"/>
      <family val="2"/>
      <scheme val="minor"/>
    </font>
    <font>
      <sz val="11"/>
      <name val="Calibri"/>
      <family val="2"/>
    </font>
    <font>
      <sz val="11"/>
      <name val="Carlito"/>
    </font>
    <font>
      <b/>
      <sz val="11"/>
      <color rgb="FF000000"/>
      <name val="Calibri"/>
      <family val="2"/>
      <scheme val="minor"/>
    </font>
    <font>
      <b/>
      <sz val="11"/>
      <name val="Calibri"/>
      <family val="2"/>
      <scheme val="minor"/>
    </font>
    <font>
      <sz val="11"/>
      <name val="Calibri"/>
      <family val="2"/>
      <scheme val="minor"/>
    </font>
    <font>
      <sz val="11"/>
      <color rgb="FF242424"/>
      <name val="Aptos Narrow"/>
      <charset val="1"/>
    </font>
    <font>
      <sz val="11"/>
      <color rgb="FF000000"/>
      <name val="Calibri"/>
      <family val="2"/>
      <scheme val="minor"/>
    </font>
  </fonts>
  <fills count="7">
    <fill>
      <patternFill patternType="none"/>
    </fill>
    <fill>
      <patternFill patternType="gray125"/>
    </fill>
    <fill>
      <patternFill patternType="solid">
        <fgColor rgb="FF606A76"/>
      </patternFill>
    </fill>
    <fill>
      <patternFill patternType="solid">
        <fgColor rgb="FF454F5B"/>
      </patternFill>
    </fill>
    <fill>
      <patternFill patternType="solid">
        <fgColor rgb="FFFFC7CE"/>
      </patternFill>
    </fill>
    <fill>
      <patternFill patternType="solid">
        <fgColor rgb="FFFFFF00"/>
        <bgColor indexed="64"/>
      </patternFill>
    </fill>
    <fill>
      <patternFill patternType="solid">
        <fgColor rgb="FF606A76"/>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s>
  <cellStyleXfs count="9">
    <xf numFmtId="0" fontId="0" fillId="0" borderId="0"/>
    <xf numFmtId="0" fontId="3" fillId="0" borderId="0"/>
    <xf numFmtId="0" fontId="3" fillId="0" borderId="0"/>
    <xf numFmtId="0" fontId="5" fillId="4" borderId="0" applyNumberFormat="0" applyBorder="0" applyAlignment="0" applyProtection="0">
      <alignment vertical="center"/>
    </xf>
    <xf numFmtId="0" fontId="6" fillId="0" borderId="0"/>
    <xf numFmtId="0" fontId="7" fillId="0" borderId="0"/>
    <xf numFmtId="0" fontId="8" fillId="0" borderId="0"/>
    <xf numFmtId="0" fontId="7" fillId="0" borderId="0"/>
    <xf numFmtId="9" fontId="9" fillId="0" borderId="0" applyFont="0" applyFill="0" applyBorder="0" applyAlignment="0" applyProtection="0"/>
  </cellStyleXfs>
  <cellXfs count="46">
    <xf numFmtId="0" fontId="0" fillId="0" borderId="0" xfId="0"/>
    <xf numFmtId="0" fontId="0" fillId="0" borderId="1" xfId="0" applyBorder="1" applyAlignment="1">
      <alignment vertical="top"/>
    </xf>
    <xf numFmtId="0" fontId="1" fillId="2" borderId="1" xfId="0" applyFont="1" applyFill="1" applyBorder="1" applyAlignment="1">
      <alignment vertical="top" wrapText="1"/>
    </xf>
    <xf numFmtId="0" fontId="1" fillId="2" borderId="1" xfId="0" applyFont="1" applyFill="1" applyBorder="1" applyAlignment="1">
      <alignment vertical="center" wrapText="1"/>
    </xf>
    <xf numFmtId="0" fontId="0" fillId="0" borderId="1" xfId="0"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0" fillId="0" borderId="1" xfId="0" applyBorder="1" applyAlignment="1">
      <alignment horizontal="right" vertical="top" wrapText="1"/>
    </xf>
    <xf numFmtId="0" fontId="0" fillId="0" borderId="0" xfId="0" applyAlignment="1">
      <alignment horizontal="right" vertical="top" wrapText="1"/>
    </xf>
    <xf numFmtId="0" fontId="0" fillId="0" borderId="1" xfId="0" applyBorder="1"/>
    <xf numFmtId="0" fontId="0" fillId="0" borderId="1" xfId="0" applyBorder="1" applyAlignment="1">
      <alignment wrapText="1"/>
    </xf>
    <xf numFmtId="0" fontId="4" fillId="0" borderId="0" xfId="0" applyFont="1" applyAlignment="1">
      <alignment wrapText="1"/>
    </xf>
    <xf numFmtId="0" fontId="4" fillId="0" borderId="0" xfId="0" applyFont="1" applyAlignment="1">
      <alignment horizontal="center" wrapText="1"/>
    </xf>
    <xf numFmtId="0" fontId="0" fillId="0" borderId="2" xfId="0" applyBorder="1" applyAlignment="1">
      <alignment vertical="top" wrapText="1"/>
    </xf>
    <xf numFmtId="0" fontId="4" fillId="0" borderId="0" xfId="0" applyFont="1"/>
    <xf numFmtId="0" fontId="11" fillId="2" borderId="0" xfId="0" applyFont="1" applyFill="1" applyAlignment="1">
      <alignment horizontal="center" wrapText="1"/>
    </xf>
    <xf numFmtId="0" fontId="11" fillId="2" borderId="0" xfId="0" applyFont="1" applyFill="1" applyAlignment="1">
      <alignment wrapText="1"/>
    </xf>
    <xf numFmtId="0" fontId="11" fillId="2" borderId="0" xfId="0" applyFont="1" applyFill="1" applyAlignment="1">
      <alignment horizontal="left" wrapText="1"/>
    </xf>
    <xf numFmtId="0" fontId="12" fillId="0" borderId="0" xfId="0" applyFont="1" applyAlignment="1">
      <alignment wrapText="1"/>
    </xf>
    <xf numFmtId="0" fontId="12" fillId="0" borderId="0" xfId="0" applyFont="1" applyAlignment="1">
      <alignment horizontal="center" wrapText="1"/>
    </xf>
    <xf numFmtId="0" fontId="12" fillId="0" borderId="0" xfId="0" applyFont="1" applyAlignment="1">
      <alignment horizontal="left" wrapText="1"/>
    </xf>
    <xf numFmtId="0" fontId="12" fillId="0" borderId="0" xfId="0" applyFont="1"/>
    <xf numFmtId="3" fontId="12" fillId="0" borderId="0" xfId="0" applyNumberFormat="1" applyFont="1" applyAlignment="1">
      <alignment horizontal="center" wrapText="1"/>
    </xf>
    <xf numFmtId="164" fontId="12" fillId="0" borderId="0" xfId="0" applyNumberFormat="1" applyFont="1" applyAlignment="1">
      <alignment horizontal="center" wrapText="1"/>
    </xf>
    <xf numFmtId="14" fontId="12" fillId="0" borderId="0" xfId="0" applyNumberFormat="1" applyFont="1" applyAlignment="1">
      <alignment horizontal="center" wrapText="1"/>
    </xf>
    <xf numFmtId="14" fontId="12" fillId="0" borderId="0" xfId="1" applyNumberFormat="1" applyFont="1" applyAlignment="1">
      <alignment horizontal="center" wrapText="1"/>
    </xf>
    <xf numFmtId="15" fontId="12" fillId="0" borderId="0" xfId="0" applyNumberFormat="1" applyFont="1" applyAlignment="1">
      <alignment wrapText="1"/>
    </xf>
    <xf numFmtId="0" fontId="12" fillId="0" borderId="0" xfId="3" applyFont="1" applyFill="1" applyBorder="1" applyAlignment="1">
      <alignment wrapText="1"/>
    </xf>
    <xf numFmtId="14" fontId="12" fillId="0" borderId="0" xfId="0" applyNumberFormat="1" applyFont="1" applyAlignment="1">
      <alignment horizontal="center"/>
    </xf>
    <xf numFmtId="165" fontId="12" fillId="0" borderId="0" xfId="0" applyNumberFormat="1" applyFont="1" applyAlignment="1">
      <alignment wrapText="1"/>
    </xf>
    <xf numFmtId="0" fontId="12" fillId="0" borderId="0" xfId="0" quotePrefix="1" applyFont="1" applyAlignment="1">
      <alignment wrapText="1"/>
    </xf>
    <xf numFmtId="0" fontId="12" fillId="0" borderId="0" xfId="4" applyFont="1"/>
    <xf numFmtId="10" fontId="11" fillId="0" borderId="0" xfId="0" applyNumberFormat="1" applyFont="1" applyAlignment="1">
      <alignment horizontal="center" wrapText="1"/>
    </xf>
    <xf numFmtId="0" fontId="10" fillId="0" borderId="0" xfId="0" applyFont="1" applyAlignment="1">
      <alignment horizontal="center" wrapText="1"/>
    </xf>
    <xf numFmtId="10" fontId="11" fillId="0" borderId="0" xfId="8" applyNumberFormat="1" applyFont="1" applyBorder="1" applyAlignment="1">
      <alignment horizontal="center" wrapText="1"/>
    </xf>
    <xf numFmtId="0" fontId="13" fillId="0" borderId="0" xfId="0" applyFont="1" applyAlignment="1">
      <alignment wrapText="1"/>
    </xf>
    <xf numFmtId="1" fontId="12" fillId="0" borderId="0" xfId="0" applyNumberFormat="1" applyFont="1" applyAlignment="1">
      <alignment horizontal="center" wrapText="1"/>
    </xf>
    <xf numFmtId="0" fontId="4" fillId="0" borderId="0" xfId="0" applyFont="1" applyAlignment="1">
      <alignment horizontal="left" wrapText="1"/>
    </xf>
    <xf numFmtId="0" fontId="13" fillId="0" borderId="0" xfId="0" applyFont="1"/>
    <xf numFmtId="0" fontId="14" fillId="0" borderId="0" xfId="0" applyFont="1" applyAlignment="1">
      <alignment wrapText="1"/>
    </xf>
    <xf numFmtId="0" fontId="11" fillId="6" borderId="0" xfId="0" applyFont="1" applyFill="1" applyAlignment="1">
      <alignment horizontal="center" wrapText="1"/>
    </xf>
    <xf numFmtId="0" fontId="12" fillId="5" borderId="0" xfId="0" applyFont="1" applyFill="1" applyAlignment="1">
      <alignment wrapText="1"/>
    </xf>
    <xf numFmtId="0" fontId="11" fillId="6" borderId="0" xfId="0" applyFont="1" applyFill="1" applyAlignment="1">
      <alignment wrapText="1"/>
    </xf>
    <xf numFmtId="0" fontId="2" fillId="3" borderId="0" xfId="0" applyFont="1" applyFill="1" applyAlignment="1">
      <alignment vertical="top"/>
    </xf>
    <xf numFmtId="0" fontId="2" fillId="3" borderId="0" xfId="0" applyFont="1" applyFill="1" applyAlignment="1">
      <alignment vertical="top" wrapText="1"/>
    </xf>
  </cellXfs>
  <cellStyles count="9">
    <cellStyle name="Bad" xfId="3" builtinId="27"/>
    <cellStyle name="Normal" xfId="0" builtinId="0"/>
    <cellStyle name="Normal 10" xfId="6" xr:uid="{8C69D4C4-612E-4D56-A526-2EFD4754C6E4}"/>
    <cellStyle name="Normal 2" xfId="4" xr:uid="{F1F384F2-7FEB-4F87-A15A-F64D750E989C}"/>
    <cellStyle name="Normal 34" xfId="2" xr:uid="{00D8D7A7-3FBA-4425-ABB6-3D0D06A3A116}"/>
    <cellStyle name="Normal 4" xfId="5" xr:uid="{130CC900-0B8C-4AFC-8FA2-C7A3017CB353}"/>
    <cellStyle name="Normal 7 7" xfId="1" xr:uid="{73C286BC-456F-4D6C-9C09-D9749836B7B0}"/>
    <cellStyle name="Percent" xfId="8" builtinId="5"/>
    <cellStyle name="一般 189" xfId="7" xr:uid="{704300E4-F098-4699-98D6-D4F8D2EEEAB0}"/>
  </cellStyles>
  <dxfs count="32">
    <dxf>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ill>
        <patternFill patternType="none"/>
      </fill>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ill>
        <patternFill patternType="none"/>
      </fill>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ill>
        <patternFill patternType="none"/>
      </fill>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ill>
        <patternFill patternType="none"/>
      </fill>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ill>
        <patternFill patternType="none"/>
      </fill>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ill>
        <patternFill patternType="none"/>
      </fill>
    </dxf>
    <dxf>
      <alignment wrapText="1"/>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alignment vertical="bottom" wrapText="1"/>
    </dxf>
    <dxf>
      <font>
        <strike val="0"/>
        <outline val="0"/>
        <shadow val="0"/>
        <u val="none"/>
        <vertAlign val="baseline"/>
        <sz val="11"/>
        <color auto="1"/>
        <name val="Calibri"/>
        <family val="2"/>
        <scheme val="minor"/>
      </font>
      <alignment vertical="bottom" wrapText="1"/>
    </dxf>
    <dxf>
      <font>
        <strike val="0"/>
        <outline val="0"/>
        <shadow val="0"/>
        <u val="none"/>
        <vertAlign val="baseline"/>
        <sz val="11"/>
        <color auto="1"/>
        <name val="Calibri"/>
        <family val="2"/>
        <scheme val="minor"/>
      </font>
      <alignment vertical="bottom" wrapText="1"/>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vertical="bottom" wrapText="1"/>
    </dxf>
    <dxf>
      <font>
        <strike val="0"/>
        <outline val="0"/>
        <shadow val="0"/>
        <u val="none"/>
        <vertAlign val="baseline"/>
        <sz val="11"/>
        <color auto="1"/>
        <name val="Calibri"/>
        <family val="2"/>
        <scheme val="minor"/>
      </font>
      <alignment horizontal="left" vertical="bottom" textRotation="0" wrapText="1" indent="0" justifyLastLine="0" shrinkToFit="0" readingOrder="0"/>
    </dxf>
    <dxf>
      <font>
        <strike val="0"/>
        <outline val="0"/>
        <shadow val="0"/>
        <u val="none"/>
        <vertAlign val="baseline"/>
        <sz val="11"/>
        <color auto="1"/>
        <name val="Calibri"/>
        <family val="2"/>
        <scheme val="minor"/>
      </font>
      <alignment horizontal="center" vertical="bottom" wrapText="1"/>
    </dxf>
    <dxf>
      <font>
        <b/>
        <strike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center"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vertical="bottom" wrapText="1"/>
      <border outline="0">
        <left style="thin">
          <color theme="2" tint="-0.249977111117893"/>
        </left>
        <right style="thin">
          <color theme="2" tint="-0.249977111117893"/>
        </right>
        <top/>
        <bottom/>
      </border>
    </dxf>
    <dxf>
      <font>
        <strike val="0"/>
        <outline val="0"/>
        <shadow val="0"/>
        <u val="none"/>
        <vertAlign val="baseline"/>
        <sz val="11"/>
        <color auto="1"/>
        <name val="Calibri"/>
        <family val="2"/>
        <scheme val="minor"/>
      </font>
      <alignment vertical="bottom" wrapText="1"/>
    </dxf>
    <dxf>
      <font>
        <strike val="0"/>
        <outline val="0"/>
        <shadow val="0"/>
        <u val="none"/>
        <vertAlign val="baseline"/>
        <sz val="11"/>
        <color auto="1"/>
        <name val="Calibri"/>
        <family val="2"/>
        <scheme val="minor"/>
      </font>
      <alignment horizontal="left" vertical="bottom" textRotation="0" wrapText="1" indent="0" justifyLastLine="0" shrinkToFit="0" readingOrder="0"/>
      <border outline="0">
        <left style="thin">
          <color theme="2" tint="-0.249977111117893"/>
        </left>
        <right style="thin">
          <color theme="2" tint="-0.249977111117893"/>
        </right>
        <top/>
        <bottom/>
      </border>
    </dxf>
  </dxfs>
  <tableStyles count="0" defaultTableStyle="TableStyleMedium2" defaultPivotStyle="PivotStyleLight16"/>
  <colors>
    <mruColors>
      <color rgb="FF606A76"/>
      <color rgb="FF454F5B"/>
      <color rgb="FFFF73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Victoria Hodges (vhodges)" id="{5E3925FC-FD91-4F43-82E3-760AA03335A2}" userId="S::vhodges@cisco.com::1c344f08-8980-4766-842b-7594b250c9a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orkmanshipResultsTable" displayName="WorkmanshipResultsTable" ref="A1:U363" headerRowDxfId="31" dataDxfId="30" totalsRowDxfId="29">
  <autoFilter ref="A1:U363" xr:uid="{00000000-0009-0000-0100-000001000000}"/>
  <sortState xmlns:xlrd2="http://schemas.microsoft.com/office/spreadsheetml/2017/richdata2" ref="A2:U363">
    <sortCondition ref="L1:L363"/>
  </sortState>
  <tableColumns count="21">
    <tableColumn id="1" xr3:uid="{00000000-0010-0000-0000-000001000000}" name="Failure Mode" dataDxfId="28"/>
    <tableColumn id="6" xr3:uid="{00000000-0010-0000-0000-000006000000}" name="Failure Code" dataDxfId="27"/>
    <tableColumn id="2" xr3:uid="{00000000-0010-0000-0000-000002000000}" name="Business Unit" dataDxfId="26"/>
    <tableColumn id="3" xr3:uid="{00000000-0010-0000-0000-000003000000}" name="PID / Product family" dataDxfId="25"/>
    <tableColumn id="4" xr3:uid="{00000000-0010-0000-0000-000004000000}" name="CPN" dataDxfId="24"/>
    <tableColumn id="5" xr3:uid="{00000000-0010-0000-0000-000005000000}" name="Serial Number" dataDxfId="23"/>
    <tableColumn id="7" xr3:uid="{00000000-0010-0000-0000-000007000000}" name="Brief Description" dataDxfId="22"/>
    <tableColumn id="8" xr3:uid="{00000000-0010-0000-0000-000008000000}" name="Determined Corrective Action" dataDxfId="21"/>
    <tableColumn id="9" xr3:uid="{00000000-0010-0000-0000-000009000000}" name="Manufacturer Site" dataDxfId="20"/>
    <tableColumn id="10" xr3:uid="{00000000-0010-0000-0000-00000A000000}" name="Number of Failed Units" dataDxfId="19"/>
    <tableColumn id="11" xr3:uid="{00000000-0010-0000-0000-00000B000000}" name="Total Units Built" dataDxfId="18"/>
    <tableColumn id="12" xr3:uid="{00000000-0010-0000-0000-00000C000000}" name="Failure Rate %" dataDxfId="17"/>
    <tableColumn id="16" xr3:uid="{00000000-0010-0000-0000-000010000000}" name="Source Date / Week" dataDxfId="16"/>
    <tableColumn id="14" xr3:uid="{00000000-0010-0000-0000-00000E000000}" name="Source Report Type" dataDxfId="15"/>
    <tableColumn id="18" xr3:uid="{00000000-0010-0000-0000-000012000000}" name="Source Location" dataDxfId="14"/>
    <tableColumn id="15" xr3:uid="{00000000-0010-0000-0000-00000F000000}" name="Source Case Number" dataDxfId="13"/>
    <tableColumn id="13" xr3:uid="{00000000-0010-0000-0000-00000D000000}" name="Record ID" dataDxfId="12"/>
    <tableColumn id="19" xr3:uid="{00000000-0010-0000-0000-000013000000}" name="Evidence" dataDxfId="11"/>
    <tableColumn id="20" xr3:uid="{00000000-0010-0000-0000-000014000000}" name="Confidence" dataDxfId="10"/>
    <tableColumn id="21" xr3:uid="{00000000-0010-0000-0000-000015000000}" name="Derivation / Conflict Notes" dataDxfId="9"/>
    <tableColumn id="17" xr3:uid="{00000000-0010-0000-0000-000011000000}" name="Status" dataDxfId="8"/>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A4E16E-0DEC-4529-9F93-4F116756DDD1}" name="RunMetricsTable9" displayName="RunMetricsTable9" ref="A3:B15">
  <tableColumns count="2">
    <tableColumn id="1" xr3:uid="{9D6A2F99-71A2-46A8-B249-8CF574DDDA21}" name="Metric"/>
    <tableColumn id="2" xr3:uid="{6BD9A79E-95F0-42CB-B8C4-1C5B5495A568}" name="Value" dataDxfId="7"/>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7B1FB5B-8DCF-4F58-ABBB-CCB8C9F51CD0}" name="InputFilesTable10" displayName="InputFilesTable10" ref="A19:E30" dataDxfId="6">
  <autoFilter ref="A19:E30" xr:uid="{00000000-0009-0000-0100-000004000000}"/>
  <tableColumns count="5">
    <tableColumn id="10" xr3:uid="{F45F2214-93FD-4EDE-8956-99BA17742407}" name="Filename" dataDxfId="5"/>
    <tableColumn id="11" xr3:uid="{8FAA6DA9-7D03-4E69-9B18-A58756AAE42E}" name="CodeEx Status" dataDxfId="4"/>
    <tableColumn id="12" xr3:uid="{32D3092F-6653-4B51-94B8-8140A03D5773}" name="Unsupported Sheets" dataDxfId="3"/>
    <tableColumn id="13" xr3:uid="{E2298076-C192-4690-8D81-4BE84D8EE6ED}" name="Review Queue" dataDxfId="2"/>
    <tableColumn id="14" xr3:uid="{55DD017D-E0A6-4116-9CB1-8EF522209FAA}" name="Workmanship Results" dataDxfId="1"/>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viewQueueTable" displayName="ReviewQueueTable" ref="A1:J184">
  <autoFilter ref="A1:J184" xr:uid="{00000000-0009-0000-0100-000002000000}"/>
  <sortState xmlns:xlrd2="http://schemas.microsoft.com/office/spreadsheetml/2017/richdata2" ref="A2:J184">
    <sortCondition ref="I1:I184"/>
  </sortState>
  <tableColumns count="10">
    <tableColumn id="1" xr3:uid="{00000000-0010-0000-0100-000001000000}" name="Record ID"/>
    <tableColumn id="10" xr3:uid="{7CE35859-1A55-435E-BC4B-7C3CA813207F}" name="Workmanship (Y/N)" dataDxfId="0"/>
    <tableColumn id="2" xr3:uid="{00000000-0010-0000-0100-000002000000}" name="Source Case Number"/>
    <tableColumn id="3" xr3:uid="{00000000-0010-0000-0100-000003000000}" name="Issue Type"/>
    <tableColumn id="4" xr3:uid="{00000000-0010-0000-0100-000004000000}" name="Proposed Failure Mode"/>
    <tableColumn id="5" xr3:uid="{00000000-0010-0000-0100-000005000000}" name="Proposed Failure Code"/>
    <tableColumn id="6" xr3:uid="{00000000-0010-0000-0100-000006000000}" name="Candidate Values"/>
    <tableColumn id="7" xr3:uid="{00000000-0010-0000-0100-000007000000}" name="Evidence"/>
    <tableColumn id="8" xr3:uid="{00000000-0010-0000-0100-000008000000}" name="Source Location"/>
    <tableColumn id="9" xr3:uid="{00000000-0010-0000-0100-000009000000}" name="Required Decision"/>
  </tableColumns>
  <tableStyleInfo name="TableStyleLight15"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dT="2026-08-19T19:00:37.69" personId="{5E3925FC-FD91-4F43-82E3-760AA03335A2}" id="{1EF1C266-D293-4F2A-8C40-9AD6387A63A0}">
    <text>Y = in-scope
Y-pending = someone is working on collecting the data</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3"/>
  <sheetViews>
    <sheetView showGridLines="0" tabSelected="1" workbookViewId="0">
      <pane ySplit="1" topLeftCell="A331" activePane="bottomLeft" state="frozen"/>
      <selection pane="bottomLeft" activeCell="D7" sqref="D7"/>
    </sheetView>
  </sheetViews>
  <sheetFormatPr defaultRowHeight="15"/>
  <cols>
    <col min="1" max="1" width="19.5" style="12" customWidth="1"/>
    <col min="2" max="2" width="14.625" style="12" customWidth="1"/>
    <col min="3" max="3" width="13.125" style="12" customWidth="1"/>
    <col min="4" max="4" width="24" style="12" customWidth="1"/>
    <col min="5" max="5" width="14.125" style="12" customWidth="1"/>
    <col min="6" max="6" width="14.5" style="12" customWidth="1"/>
    <col min="7" max="7" width="32.75" style="12" customWidth="1"/>
    <col min="8" max="8" width="29.75" style="12" customWidth="1"/>
    <col min="9" max="9" width="25" style="12" customWidth="1"/>
    <col min="10" max="10" width="10.125" style="13" customWidth="1"/>
    <col min="11" max="11" width="8.75" style="13" customWidth="1"/>
    <col min="12" max="12" width="14" style="34" customWidth="1"/>
    <col min="13" max="13" width="13.875" style="13" customWidth="1"/>
    <col min="14" max="14" width="17.625" style="12" customWidth="1"/>
    <col min="15" max="15" width="50" style="12" customWidth="1"/>
    <col min="16" max="16" width="11.5" style="13" customWidth="1"/>
    <col min="17" max="17" width="14" style="12" customWidth="1"/>
    <col min="18" max="18" width="60" style="12" customWidth="1"/>
    <col min="19" max="19" width="13" style="12" customWidth="1"/>
    <col min="20" max="20" width="56" style="12" customWidth="1"/>
    <col min="21" max="21" width="16" style="38" customWidth="1"/>
    <col min="22" max="16384" width="9" style="12"/>
  </cols>
  <sheetData>
    <row r="1" spans="1:21" ht="30" customHeight="1">
      <c r="A1" s="17" t="s">
        <v>0</v>
      </c>
      <c r="B1" s="43" t="s">
        <v>1</v>
      </c>
      <c r="C1" s="43" t="s">
        <v>2</v>
      </c>
      <c r="D1" s="17" t="s">
        <v>3</v>
      </c>
      <c r="E1" s="17" t="s">
        <v>4</v>
      </c>
      <c r="F1" s="17" t="s">
        <v>5</v>
      </c>
      <c r="G1" s="17" t="s">
        <v>6</v>
      </c>
      <c r="H1" s="17" t="s">
        <v>7</v>
      </c>
      <c r="I1" s="43" t="s">
        <v>8</v>
      </c>
      <c r="J1" s="41" t="s">
        <v>9</v>
      </c>
      <c r="K1" s="16" t="s">
        <v>10</v>
      </c>
      <c r="L1" s="41" t="s">
        <v>11</v>
      </c>
      <c r="M1" s="18" t="s">
        <v>12</v>
      </c>
      <c r="N1" s="18" t="s">
        <v>13</v>
      </c>
      <c r="O1" s="18" t="s">
        <v>14</v>
      </c>
      <c r="P1" s="16" t="s">
        <v>15</v>
      </c>
      <c r="Q1" s="18" t="s">
        <v>16</v>
      </c>
      <c r="R1" s="18" t="s">
        <v>17</v>
      </c>
      <c r="S1" s="18" t="s">
        <v>18</v>
      </c>
      <c r="T1" s="18" t="s">
        <v>19</v>
      </c>
      <c r="U1" s="18" t="s">
        <v>20</v>
      </c>
    </row>
    <row r="2" spans="1:21" ht="42" customHeight="1">
      <c r="A2" s="19" t="s">
        <v>21</v>
      </c>
      <c r="B2" s="19" t="s">
        <v>22</v>
      </c>
      <c r="C2" s="19" t="s">
        <v>23</v>
      </c>
      <c r="D2" s="19" t="s">
        <v>24</v>
      </c>
      <c r="E2" s="19" t="s">
        <v>25</v>
      </c>
      <c r="F2" s="19" t="s">
        <v>26</v>
      </c>
      <c r="G2" s="19" t="s">
        <v>22</v>
      </c>
      <c r="H2" s="19" t="s">
        <v>27</v>
      </c>
      <c r="I2" s="19" t="s">
        <v>28</v>
      </c>
      <c r="J2" s="20">
        <v>1</v>
      </c>
      <c r="K2" s="20">
        <v>909</v>
      </c>
      <c r="L2" s="33">
        <f>WorkmanshipResultsTable[[#This Row],[Number of Failed Units]]/WorkmanshipResultsTable[[#This Row],[Total Units Built]]</f>
        <v>1.1001100110011001E-3</v>
      </c>
      <c r="M2" s="25">
        <v>45446</v>
      </c>
      <c r="N2" s="19" t="s">
        <v>29</v>
      </c>
      <c r="O2" s="19" t="s">
        <v>30</v>
      </c>
      <c r="P2" s="20" t="s">
        <v>31</v>
      </c>
      <c r="Q2" s="19"/>
      <c r="R2" s="19"/>
      <c r="S2" s="19"/>
      <c r="T2" s="19"/>
      <c r="U2" s="21"/>
    </row>
    <row r="3" spans="1:21" ht="42" customHeight="1">
      <c r="A3" s="19" t="s">
        <v>21</v>
      </c>
      <c r="B3" s="19" t="s">
        <v>32</v>
      </c>
      <c r="C3" s="19" t="s">
        <v>33</v>
      </c>
      <c r="D3" s="19" t="s">
        <v>34</v>
      </c>
      <c r="E3" s="19"/>
      <c r="F3" s="19" t="s">
        <v>35</v>
      </c>
      <c r="G3" s="19" t="s">
        <v>36</v>
      </c>
      <c r="H3" s="19" t="s">
        <v>37</v>
      </c>
      <c r="I3" s="19" t="s">
        <v>38</v>
      </c>
      <c r="J3" s="20">
        <v>1</v>
      </c>
      <c r="K3" s="20">
        <v>852</v>
      </c>
      <c r="L3" s="35">
        <f>WorkmanshipResultsTable[[#This Row],[Number of Failed Units]]/WorkmanshipResultsTable[[#This Row],[Total Units Built]]</f>
        <v>1.1737089201877935E-3</v>
      </c>
      <c r="M3" s="25">
        <v>45590</v>
      </c>
      <c r="N3" s="21" t="s">
        <v>29</v>
      </c>
      <c r="O3" s="19" t="s">
        <v>39</v>
      </c>
      <c r="P3" s="20" t="s">
        <v>40</v>
      </c>
      <c r="Q3" s="19"/>
      <c r="R3" s="19"/>
      <c r="S3" s="19"/>
      <c r="T3" s="19"/>
      <c r="U3" s="21"/>
    </row>
    <row r="4" spans="1:21" ht="42" customHeight="1">
      <c r="A4" s="19" t="s">
        <v>21</v>
      </c>
      <c r="B4" s="19" t="s">
        <v>41</v>
      </c>
      <c r="C4" s="19" t="s">
        <v>33</v>
      </c>
      <c r="D4" s="19" t="s">
        <v>42</v>
      </c>
      <c r="E4" s="19"/>
      <c r="F4" s="19" t="s">
        <v>43</v>
      </c>
      <c r="G4" s="19" t="s">
        <v>44</v>
      </c>
      <c r="H4" s="19" t="s">
        <v>45</v>
      </c>
      <c r="I4" s="19" t="s">
        <v>46</v>
      </c>
      <c r="J4" s="20">
        <v>1</v>
      </c>
      <c r="K4" s="20">
        <v>820</v>
      </c>
      <c r="L4" s="33">
        <f>WorkmanshipResultsTable[[#This Row],[Number of Failed Units]]/WorkmanshipResultsTable[[#This Row],[Total Units Built]]</f>
        <v>1.2195121951219512E-3</v>
      </c>
      <c r="M4" s="25">
        <v>45625</v>
      </c>
      <c r="N4" s="19" t="s">
        <v>47</v>
      </c>
      <c r="O4" s="19" t="s">
        <v>48</v>
      </c>
      <c r="P4" s="20"/>
      <c r="Q4" s="19"/>
      <c r="R4" s="19"/>
      <c r="S4" s="19"/>
      <c r="T4" s="19"/>
      <c r="U4" s="21"/>
    </row>
    <row r="5" spans="1:21" ht="42" customHeight="1">
      <c r="A5" s="19" t="s">
        <v>21</v>
      </c>
      <c r="B5" s="19" t="s">
        <v>41</v>
      </c>
      <c r="C5" s="19" t="s">
        <v>33</v>
      </c>
      <c r="D5" s="19" t="s">
        <v>42</v>
      </c>
      <c r="E5" s="19"/>
      <c r="F5" s="19" t="s">
        <v>49</v>
      </c>
      <c r="G5" s="19" t="s">
        <v>50</v>
      </c>
      <c r="H5" s="19" t="s">
        <v>51</v>
      </c>
      <c r="I5" s="19" t="s">
        <v>46</v>
      </c>
      <c r="J5" s="20">
        <v>1</v>
      </c>
      <c r="K5" s="20">
        <v>820</v>
      </c>
      <c r="L5" s="33">
        <f>WorkmanshipResultsTable[[#This Row],[Number of Failed Units]]/WorkmanshipResultsTable[[#This Row],[Total Units Built]]</f>
        <v>1.2195121951219512E-3</v>
      </c>
      <c r="M5" s="25">
        <v>45625</v>
      </c>
      <c r="N5" s="19" t="s">
        <v>47</v>
      </c>
      <c r="O5" s="19" t="s">
        <v>48</v>
      </c>
      <c r="P5" s="20"/>
      <c r="Q5" s="19"/>
      <c r="R5" s="19"/>
      <c r="S5" s="19"/>
      <c r="T5" s="19"/>
      <c r="U5" s="21"/>
    </row>
    <row r="6" spans="1:21" ht="42" customHeight="1">
      <c r="A6" s="19" t="s">
        <v>21</v>
      </c>
      <c r="B6" s="19" t="s">
        <v>41</v>
      </c>
      <c r="C6" s="19" t="s">
        <v>33</v>
      </c>
      <c r="D6" s="19" t="s">
        <v>52</v>
      </c>
      <c r="E6" s="19"/>
      <c r="F6" s="19" t="s">
        <v>53</v>
      </c>
      <c r="G6" s="19" t="s">
        <v>54</v>
      </c>
      <c r="H6" s="19" t="s">
        <v>55</v>
      </c>
      <c r="I6" s="19" t="s">
        <v>46</v>
      </c>
      <c r="J6" s="20">
        <v>1</v>
      </c>
      <c r="K6" s="20">
        <v>805</v>
      </c>
      <c r="L6" s="33">
        <f>WorkmanshipResultsTable[[#This Row],[Number of Failed Units]]/WorkmanshipResultsTable[[#This Row],[Total Units Built]]</f>
        <v>1.2422360248447205E-3</v>
      </c>
      <c r="M6" s="25">
        <v>45541</v>
      </c>
      <c r="N6" s="19" t="s">
        <v>47</v>
      </c>
      <c r="O6" s="19" t="s">
        <v>48</v>
      </c>
      <c r="P6" s="20"/>
      <c r="Q6" s="19"/>
      <c r="R6" s="19"/>
      <c r="S6" s="19"/>
      <c r="T6" s="19"/>
      <c r="U6" s="21"/>
    </row>
    <row r="7" spans="1:21" ht="42" customHeight="1">
      <c r="A7" s="19" t="s">
        <v>21</v>
      </c>
      <c r="B7" s="19" t="s">
        <v>56</v>
      </c>
      <c r="C7" s="19" t="s">
        <v>33</v>
      </c>
      <c r="D7" s="19" t="s">
        <v>52</v>
      </c>
      <c r="E7" s="19"/>
      <c r="F7" s="19" t="s">
        <v>57</v>
      </c>
      <c r="G7" s="19" t="s">
        <v>58</v>
      </c>
      <c r="H7" s="19" t="s">
        <v>59</v>
      </c>
      <c r="I7" s="19" t="s">
        <v>46</v>
      </c>
      <c r="J7" s="20">
        <v>1</v>
      </c>
      <c r="K7" s="20">
        <v>805</v>
      </c>
      <c r="L7" s="33">
        <f>WorkmanshipResultsTable[[#This Row],[Number of Failed Units]]/WorkmanshipResultsTable[[#This Row],[Total Units Built]]</f>
        <v>1.2422360248447205E-3</v>
      </c>
      <c r="M7" s="25">
        <v>45541</v>
      </c>
      <c r="N7" s="19" t="s">
        <v>47</v>
      </c>
      <c r="O7" s="19" t="s">
        <v>48</v>
      </c>
      <c r="P7" s="20"/>
      <c r="Q7" s="19"/>
      <c r="R7" s="19"/>
      <c r="S7" s="19"/>
      <c r="T7" s="19"/>
      <c r="U7" s="21"/>
    </row>
    <row r="8" spans="1:21" ht="42" customHeight="1">
      <c r="A8" s="19" t="s">
        <v>21</v>
      </c>
      <c r="B8" s="19" t="s">
        <v>41</v>
      </c>
      <c r="C8" s="19" t="s">
        <v>33</v>
      </c>
      <c r="D8" s="19" t="s">
        <v>52</v>
      </c>
      <c r="E8" s="19"/>
      <c r="F8" s="19" t="s">
        <v>60</v>
      </c>
      <c r="G8" s="19" t="s">
        <v>61</v>
      </c>
      <c r="H8" s="19" t="s">
        <v>62</v>
      </c>
      <c r="I8" s="19" t="s">
        <v>46</v>
      </c>
      <c r="J8" s="20">
        <v>1</v>
      </c>
      <c r="K8" s="20">
        <v>761</v>
      </c>
      <c r="L8" s="33">
        <f>WorkmanshipResultsTable[[#This Row],[Number of Failed Units]]/WorkmanshipResultsTable[[#This Row],[Total Units Built]]</f>
        <v>1.3140604467805519E-3</v>
      </c>
      <c r="M8" s="25">
        <v>45726</v>
      </c>
      <c r="N8" s="19" t="s">
        <v>47</v>
      </c>
      <c r="O8" s="19" t="s">
        <v>48</v>
      </c>
      <c r="P8" s="20"/>
      <c r="Q8" s="19"/>
      <c r="R8" s="19"/>
      <c r="S8" s="19"/>
      <c r="T8" s="19"/>
      <c r="U8" s="21"/>
    </row>
    <row r="9" spans="1:21" ht="42" customHeight="1">
      <c r="A9" s="19" t="s">
        <v>21</v>
      </c>
      <c r="B9" s="19" t="s">
        <v>63</v>
      </c>
      <c r="C9" s="19" t="s">
        <v>33</v>
      </c>
      <c r="D9" s="19" t="s">
        <v>64</v>
      </c>
      <c r="E9" s="19"/>
      <c r="F9" s="19" t="s">
        <v>65</v>
      </c>
      <c r="G9" s="19" t="s">
        <v>58</v>
      </c>
      <c r="H9" s="19" t="s">
        <v>66</v>
      </c>
      <c r="I9" s="19" t="s">
        <v>46</v>
      </c>
      <c r="J9" s="20">
        <v>1</v>
      </c>
      <c r="K9" s="20">
        <v>740</v>
      </c>
      <c r="L9" s="33">
        <f>WorkmanshipResultsTable[[#This Row],[Number of Failed Units]]/WorkmanshipResultsTable[[#This Row],[Total Units Built]]</f>
        <v>1.3513513513513514E-3</v>
      </c>
      <c r="M9" s="25">
        <v>45562</v>
      </c>
      <c r="N9" s="19" t="s">
        <v>47</v>
      </c>
      <c r="O9" s="19" t="s">
        <v>48</v>
      </c>
      <c r="P9" s="20"/>
      <c r="Q9" s="19"/>
      <c r="R9" s="19"/>
      <c r="S9" s="19"/>
      <c r="T9" s="19"/>
      <c r="U9" s="21"/>
    </row>
    <row r="10" spans="1:21" ht="42" customHeight="1">
      <c r="A10" s="19" t="s">
        <v>21</v>
      </c>
      <c r="B10" s="19" t="s">
        <v>41</v>
      </c>
      <c r="C10" s="19" t="s">
        <v>33</v>
      </c>
      <c r="D10" s="19" t="s">
        <v>52</v>
      </c>
      <c r="E10" s="19"/>
      <c r="F10" s="19" t="s">
        <v>67</v>
      </c>
      <c r="G10" s="19" t="s">
        <v>68</v>
      </c>
      <c r="H10" s="19" t="s">
        <v>69</v>
      </c>
      <c r="I10" s="19" t="s">
        <v>46</v>
      </c>
      <c r="J10" s="20">
        <v>1</v>
      </c>
      <c r="K10" s="20">
        <v>701</v>
      </c>
      <c r="L10" s="33">
        <f>WorkmanshipResultsTable[[#This Row],[Number of Failed Units]]/WorkmanshipResultsTable[[#This Row],[Total Units Built]]</f>
        <v>1.4265335235378032E-3</v>
      </c>
      <c r="M10" s="25">
        <v>45726</v>
      </c>
      <c r="N10" s="19" t="s">
        <v>47</v>
      </c>
      <c r="O10" s="19" t="s">
        <v>48</v>
      </c>
      <c r="P10" s="20"/>
      <c r="Q10" s="19"/>
      <c r="R10" s="19"/>
      <c r="S10" s="19"/>
      <c r="T10" s="19"/>
      <c r="U10" s="21"/>
    </row>
    <row r="11" spans="1:21" ht="42" customHeight="1">
      <c r="A11" s="19" t="s">
        <v>21</v>
      </c>
      <c r="B11" s="19" t="s">
        <v>41</v>
      </c>
      <c r="C11" s="19" t="s">
        <v>33</v>
      </c>
      <c r="D11" s="19" t="s">
        <v>64</v>
      </c>
      <c r="E11" s="19"/>
      <c r="F11" s="19" t="s">
        <v>70</v>
      </c>
      <c r="G11" s="19" t="s">
        <v>71</v>
      </c>
      <c r="H11" s="19" t="s">
        <v>72</v>
      </c>
      <c r="I11" s="19" t="s">
        <v>46</v>
      </c>
      <c r="J11" s="20">
        <v>1</v>
      </c>
      <c r="K11" s="20">
        <v>683</v>
      </c>
      <c r="L11" s="33">
        <f>WorkmanshipResultsTable[[#This Row],[Number of Failed Units]]/WorkmanshipResultsTable[[#This Row],[Total Units Built]]</f>
        <v>1.4641288433382138E-3</v>
      </c>
      <c r="M11" s="25">
        <v>45611</v>
      </c>
      <c r="N11" s="19" t="s">
        <v>47</v>
      </c>
      <c r="O11" s="19" t="s">
        <v>48</v>
      </c>
      <c r="P11" s="20"/>
      <c r="Q11" s="19"/>
      <c r="R11" s="19"/>
      <c r="S11" s="19"/>
      <c r="T11" s="19"/>
      <c r="U11" s="21"/>
    </row>
    <row r="12" spans="1:21" ht="42" customHeight="1">
      <c r="A12" s="19" t="s">
        <v>21</v>
      </c>
      <c r="B12" s="19" t="s">
        <v>73</v>
      </c>
      <c r="C12" s="19" t="s">
        <v>33</v>
      </c>
      <c r="D12" s="19" t="s">
        <v>64</v>
      </c>
      <c r="E12" s="19"/>
      <c r="F12" s="19" t="s">
        <v>74</v>
      </c>
      <c r="G12" s="19" t="s">
        <v>75</v>
      </c>
      <c r="H12" s="19" t="s">
        <v>76</v>
      </c>
      <c r="I12" s="19" t="s">
        <v>77</v>
      </c>
      <c r="J12" s="20">
        <v>1</v>
      </c>
      <c r="K12" s="20">
        <v>657</v>
      </c>
      <c r="L12" s="35">
        <f>WorkmanshipResultsTable[[#This Row],[Number of Failed Units]]/WorkmanshipResultsTable[[#This Row],[Total Units Built]]</f>
        <v>1.5220700152207001E-3</v>
      </c>
      <c r="M12" s="25">
        <v>45910</v>
      </c>
      <c r="N12" s="21" t="s">
        <v>29</v>
      </c>
      <c r="O12" s="19" t="s">
        <v>39</v>
      </c>
      <c r="P12" s="20" t="s">
        <v>78</v>
      </c>
      <c r="Q12" s="19"/>
      <c r="R12" s="19"/>
      <c r="S12" s="19"/>
      <c r="T12" s="19"/>
      <c r="U12" s="21" t="s">
        <v>79</v>
      </c>
    </row>
    <row r="13" spans="1:21" ht="42" customHeight="1">
      <c r="A13" s="19" t="s">
        <v>21</v>
      </c>
      <c r="B13" s="19" t="s">
        <v>32</v>
      </c>
      <c r="C13" s="19" t="s">
        <v>33</v>
      </c>
      <c r="D13" s="19" t="s">
        <v>80</v>
      </c>
      <c r="E13" s="19"/>
      <c r="F13" s="19" t="s">
        <v>81</v>
      </c>
      <c r="G13" s="19" t="s">
        <v>82</v>
      </c>
      <c r="H13" s="19" t="s">
        <v>83</v>
      </c>
      <c r="I13" s="19" t="s">
        <v>77</v>
      </c>
      <c r="J13" s="20">
        <v>1</v>
      </c>
      <c r="K13" s="20">
        <v>633</v>
      </c>
      <c r="L13" s="35">
        <f>WorkmanshipResultsTable[[#This Row],[Number of Failed Units]]/WorkmanshipResultsTable[[#This Row],[Total Units Built]]</f>
        <v>1.5797788309636651E-3</v>
      </c>
      <c r="M13" s="25">
        <v>45897</v>
      </c>
      <c r="N13" s="21" t="s">
        <v>29</v>
      </c>
      <c r="O13" s="19" t="s">
        <v>39</v>
      </c>
      <c r="P13" s="20" t="s">
        <v>84</v>
      </c>
      <c r="Q13" s="19"/>
      <c r="R13" s="19"/>
      <c r="S13" s="19"/>
      <c r="T13" s="19"/>
      <c r="U13" s="21" t="s">
        <v>79</v>
      </c>
    </row>
    <row r="14" spans="1:21" ht="42" customHeight="1">
      <c r="A14" s="19" t="s">
        <v>21</v>
      </c>
      <c r="B14" s="19" t="s">
        <v>85</v>
      </c>
      <c r="C14" s="19" t="s">
        <v>33</v>
      </c>
      <c r="D14" s="19" t="s">
        <v>52</v>
      </c>
      <c r="E14" s="19" t="s">
        <v>86</v>
      </c>
      <c r="F14" s="19" t="s">
        <v>87</v>
      </c>
      <c r="G14" s="19" t="s">
        <v>88</v>
      </c>
      <c r="H14" s="19" t="s">
        <v>89</v>
      </c>
      <c r="I14" s="19" t="s">
        <v>77</v>
      </c>
      <c r="J14" s="20">
        <v>1</v>
      </c>
      <c r="K14" s="20">
        <v>595</v>
      </c>
      <c r="L14" s="35">
        <f>WorkmanshipResultsTable[[#This Row],[Number of Failed Units]]/WorkmanshipResultsTable[[#This Row],[Total Units Built]]</f>
        <v>1.6806722689075631E-3</v>
      </c>
      <c r="M14" s="25">
        <v>45924</v>
      </c>
      <c r="N14" s="21" t="s">
        <v>29</v>
      </c>
      <c r="O14" s="19" t="s">
        <v>90</v>
      </c>
      <c r="P14" s="20" t="s">
        <v>91</v>
      </c>
      <c r="Q14" s="19"/>
      <c r="R14" s="19"/>
      <c r="S14" s="19"/>
      <c r="T14" s="19"/>
      <c r="U14" s="21" t="s">
        <v>79</v>
      </c>
    </row>
    <row r="15" spans="1:21" ht="42" customHeight="1">
      <c r="A15" s="19" t="s">
        <v>21</v>
      </c>
      <c r="B15" s="19" t="s">
        <v>92</v>
      </c>
      <c r="C15" s="19" t="s">
        <v>33</v>
      </c>
      <c r="D15" s="19" t="s">
        <v>52</v>
      </c>
      <c r="E15" s="19"/>
      <c r="F15" s="19" t="s">
        <v>93</v>
      </c>
      <c r="G15" s="19" t="s">
        <v>94</v>
      </c>
      <c r="H15" s="19" t="s">
        <v>95</v>
      </c>
      <c r="I15" s="19" t="s">
        <v>46</v>
      </c>
      <c r="J15" s="20">
        <v>1</v>
      </c>
      <c r="K15" s="20">
        <v>558</v>
      </c>
      <c r="L15" s="33">
        <f>WorkmanshipResultsTable[[#This Row],[Number of Failed Units]]/WorkmanshipResultsTable[[#This Row],[Total Units Built]]</f>
        <v>1.7921146953405018E-3</v>
      </c>
      <c r="M15" s="25">
        <v>45491</v>
      </c>
      <c r="N15" s="19" t="s">
        <v>47</v>
      </c>
      <c r="O15" s="19" t="s">
        <v>48</v>
      </c>
      <c r="P15" s="20"/>
      <c r="Q15" s="19"/>
      <c r="R15" s="19"/>
      <c r="S15" s="19"/>
      <c r="T15" s="19"/>
      <c r="U15" s="21"/>
    </row>
    <row r="16" spans="1:21" ht="42" customHeight="1">
      <c r="A16" s="19" t="s">
        <v>96</v>
      </c>
      <c r="B16" s="19" t="s">
        <v>56</v>
      </c>
      <c r="C16" s="19" t="s">
        <v>23</v>
      </c>
      <c r="D16" s="19" t="s">
        <v>97</v>
      </c>
      <c r="E16" s="19" t="s">
        <v>98</v>
      </c>
      <c r="F16" s="19" t="s">
        <v>99</v>
      </c>
      <c r="G16" s="19" t="s">
        <v>100</v>
      </c>
      <c r="H16" s="19" t="s">
        <v>101</v>
      </c>
      <c r="I16" s="19" t="s">
        <v>28</v>
      </c>
      <c r="J16" s="20">
        <v>1</v>
      </c>
      <c r="K16" s="20">
        <v>534</v>
      </c>
      <c r="L16" s="35">
        <f>WorkmanshipResultsTable[[#This Row],[Number of Failed Units]]/WorkmanshipResultsTable[[#This Row],[Total Units Built]]</f>
        <v>1.8726591760299626E-3</v>
      </c>
      <c r="M16" s="25">
        <v>45828</v>
      </c>
      <c r="N16" s="19" t="s">
        <v>47</v>
      </c>
      <c r="O16" s="19" t="s">
        <v>102</v>
      </c>
      <c r="P16" s="20"/>
      <c r="Q16" s="19"/>
      <c r="R16" s="19"/>
      <c r="S16" s="19"/>
      <c r="T16" s="19"/>
      <c r="U16" s="21"/>
    </row>
    <row r="17" spans="1:21" ht="42" customHeight="1">
      <c r="A17" s="19" t="s">
        <v>21</v>
      </c>
      <c r="B17" s="19" t="s">
        <v>92</v>
      </c>
      <c r="C17" s="19" t="s">
        <v>33</v>
      </c>
      <c r="D17" s="19" t="s">
        <v>64</v>
      </c>
      <c r="E17" s="19"/>
      <c r="F17" s="19" t="s">
        <v>103</v>
      </c>
      <c r="G17" s="19" t="s">
        <v>104</v>
      </c>
      <c r="H17" s="19" t="s">
        <v>105</v>
      </c>
      <c r="I17" s="19" t="s">
        <v>46</v>
      </c>
      <c r="J17" s="20">
        <v>1</v>
      </c>
      <c r="K17" s="20">
        <v>524</v>
      </c>
      <c r="L17" s="35">
        <f>WorkmanshipResultsTable[[#This Row],[Number of Failed Units]]/WorkmanshipResultsTable[[#This Row],[Total Units Built]]</f>
        <v>1.9083969465648854E-3</v>
      </c>
      <c r="M17" s="25">
        <v>45461</v>
      </c>
      <c r="N17" s="21" t="s">
        <v>29</v>
      </c>
      <c r="O17" s="19" t="s">
        <v>39</v>
      </c>
      <c r="P17" s="20" t="s">
        <v>106</v>
      </c>
      <c r="Q17" s="19"/>
      <c r="R17" s="19"/>
      <c r="S17" s="19"/>
      <c r="T17" s="19"/>
      <c r="U17" s="21" t="s">
        <v>79</v>
      </c>
    </row>
    <row r="18" spans="1:21" ht="42" customHeight="1">
      <c r="A18" s="19" t="s">
        <v>21</v>
      </c>
      <c r="B18" s="19" t="s">
        <v>32</v>
      </c>
      <c r="C18" s="19" t="s">
        <v>33</v>
      </c>
      <c r="D18" s="19" t="s">
        <v>107</v>
      </c>
      <c r="E18" s="19"/>
      <c r="F18" s="19" t="s">
        <v>108</v>
      </c>
      <c r="G18" s="19" t="s">
        <v>109</v>
      </c>
      <c r="H18" s="19" t="s">
        <v>110</v>
      </c>
      <c r="I18" s="19" t="s">
        <v>111</v>
      </c>
      <c r="J18" s="20">
        <v>1</v>
      </c>
      <c r="K18" s="20">
        <v>502</v>
      </c>
      <c r="L18" s="33">
        <f>WorkmanshipResultsTable[[#This Row],[Number of Failed Units]]/WorkmanshipResultsTable[[#This Row],[Total Units Built]]</f>
        <v>1.9920318725099601E-3</v>
      </c>
      <c r="M18" s="25">
        <v>45392</v>
      </c>
      <c r="N18" s="21" t="s">
        <v>29</v>
      </c>
      <c r="O18" s="19" t="s">
        <v>39</v>
      </c>
      <c r="P18" s="20" t="s">
        <v>112</v>
      </c>
      <c r="Q18" s="19"/>
      <c r="R18" s="19"/>
      <c r="S18" s="19"/>
      <c r="T18" s="19"/>
      <c r="U18" s="21"/>
    </row>
    <row r="19" spans="1:21" ht="42" customHeight="1">
      <c r="A19" s="19" t="s">
        <v>113</v>
      </c>
      <c r="B19" s="19" t="s">
        <v>92</v>
      </c>
      <c r="C19" s="19" t="s">
        <v>33</v>
      </c>
      <c r="D19" s="19" t="s">
        <v>52</v>
      </c>
      <c r="E19" s="19"/>
      <c r="F19" s="19" t="s">
        <v>114</v>
      </c>
      <c r="G19" s="19" t="s">
        <v>115</v>
      </c>
      <c r="H19" s="19" t="s">
        <v>116</v>
      </c>
      <c r="I19" s="19" t="s">
        <v>77</v>
      </c>
      <c r="J19" s="20">
        <v>1</v>
      </c>
      <c r="K19" s="20">
        <v>480</v>
      </c>
      <c r="L19" s="33">
        <f>WorkmanshipResultsTable[[#This Row],[Number of Failed Units]]/WorkmanshipResultsTable[[#This Row],[Total Units Built]]</f>
        <v>2.0833333333333333E-3</v>
      </c>
      <c r="M19" s="20" t="s">
        <v>117</v>
      </c>
      <c r="N19" s="21" t="s">
        <v>47</v>
      </c>
      <c r="O19" s="19" t="s">
        <v>118</v>
      </c>
      <c r="P19" s="20"/>
      <c r="Q19" s="19"/>
      <c r="R19" s="19"/>
      <c r="S19" s="19"/>
      <c r="T19" s="19"/>
      <c r="U19" s="21" t="s">
        <v>119</v>
      </c>
    </row>
    <row r="20" spans="1:21" ht="42" customHeight="1">
      <c r="A20" s="19" t="s">
        <v>21</v>
      </c>
      <c r="B20" s="19" t="s">
        <v>56</v>
      </c>
      <c r="C20" s="19" t="s">
        <v>33</v>
      </c>
      <c r="D20" s="19" t="s">
        <v>120</v>
      </c>
      <c r="E20" s="19"/>
      <c r="F20" s="19" t="s">
        <v>121</v>
      </c>
      <c r="G20" s="19" t="s">
        <v>122</v>
      </c>
      <c r="H20" s="19" t="s">
        <v>123</v>
      </c>
      <c r="I20" s="19" t="s">
        <v>28</v>
      </c>
      <c r="J20" s="20">
        <v>1</v>
      </c>
      <c r="K20" s="20">
        <v>457</v>
      </c>
      <c r="L20" s="33">
        <f>WorkmanshipResultsTable[[#This Row],[Number of Failed Units]]/WorkmanshipResultsTable[[#This Row],[Total Units Built]]</f>
        <v>2.1881838074398249E-3</v>
      </c>
      <c r="M20" s="25">
        <v>46031</v>
      </c>
      <c r="N20" s="21" t="s">
        <v>29</v>
      </c>
      <c r="O20" s="19" t="s">
        <v>39</v>
      </c>
      <c r="P20" s="20" t="s">
        <v>124</v>
      </c>
      <c r="Q20" s="19"/>
      <c r="R20" s="19"/>
      <c r="S20" s="19"/>
      <c r="T20" s="19"/>
      <c r="U20" s="21"/>
    </row>
    <row r="21" spans="1:21" ht="42" customHeight="1">
      <c r="A21" s="19" t="s">
        <v>113</v>
      </c>
      <c r="B21" s="19" t="s">
        <v>63</v>
      </c>
      <c r="C21" s="19" t="s">
        <v>23</v>
      </c>
      <c r="D21" s="19" t="s">
        <v>125</v>
      </c>
      <c r="E21" s="19" t="s">
        <v>126</v>
      </c>
      <c r="F21" s="19" t="s">
        <v>127</v>
      </c>
      <c r="G21" s="19" t="s">
        <v>128</v>
      </c>
      <c r="H21" s="19" t="s">
        <v>129</v>
      </c>
      <c r="I21" s="19" t="s">
        <v>130</v>
      </c>
      <c r="J21" s="20">
        <v>1</v>
      </c>
      <c r="K21" s="20">
        <v>435</v>
      </c>
      <c r="L21" s="35">
        <f>WorkmanshipResultsTable[[#This Row],[Number of Failed Units]]/WorkmanshipResultsTable[[#This Row],[Total Units Built]]</f>
        <v>2.2988505747126436E-3</v>
      </c>
      <c r="M21" s="26">
        <v>45923</v>
      </c>
      <c r="N21" s="19" t="s">
        <v>47</v>
      </c>
      <c r="O21" s="19" t="s">
        <v>131</v>
      </c>
      <c r="P21" s="20"/>
      <c r="Q21" s="19"/>
      <c r="R21" s="19"/>
      <c r="S21" s="19"/>
      <c r="T21" s="19"/>
      <c r="U21" s="39" t="s">
        <v>79</v>
      </c>
    </row>
    <row r="22" spans="1:21" ht="42" customHeight="1">
      <c r="A22" s="19" t="s">
        <v>21</v>
      </c>
      <c r="B22" s="19" t="s">
        <v>32</v>
      </c>
      <c r="C22" s="19" t="s">
        <v>33</v>
      </c>
      <c r="D22" s="19" t="s">
        <v>64</v>
      </c>
      <c r="E22" s="19"/>
      <c r="F22" s="19" t="s">
        <v>132</v>
      </c>
      <c r="G22" s="19" t="s">
        <v>133</v>
      </c>
      <c r="H22" s="19" t="s">
        <v>134</v>
      </c>
      <c r="I22" s="19" t="s">
        <v>46</v>
      </c>
      <c r="J22" s="20">
        <v>1</v>
      </c>
      <c r="K22" s="20">
        <v>432</v>
      </c>
      <c r="L22" s="35">
        <f>WorkmanshipResultsTable[[#This Row],[Number of Failed Units]]/WorkmanshipResultsTable[[#This Row],[Total Units Built]]</f>
        <v>2.3148148148148147E-3</v>
      </c>
      <c r="M22" s="25">
        <v>45570</v>
      </c>
      <c r="N22" s="21" t="s">
        <v>29</v>
      </c>
      <c r="O22" s="19" t="s">
        <v>39</v>
      </c>
      <c r="P22" s="20" t="s">
        <v>135</v>
      </c>
      <c r="Q22" s="19"/>
      <c r="R22" s="19"/>
      <c r="S22" s="19"/>
      <c r="T22" s="19"/>
      <c r="U22" s="21" t="s">
        <v>79</v>
      </c>
    </row>
    <row r="23" spans="1:21" ht="42" customHeight="1">
      <c r="A23" s="19" t="s">
        <v>21</v>
      </c>
      <c r="B23" s="19" t="s">
        <v>32</v>
      </c>
      <c r="C23" s="19" t="s">
        <v>23</v>
      </c>
      <c r="D23" s="19" t="s">
        <v>136</v>
      </c>
      <c r="E23" s="19" t="s">
        <v>137</v>
      </c>
      <c r="F23" s="19" t="s">
        <v>138</v>
      </c>
      <c r="G23" s="19" t="s">
        <v>139</v>
      </c>
      <c r="H23" s="19"/>
      <c r="I23" s="22" t="s">
        <v>140</v>
      </c>
      <c r="J23" s="20">
        <v>1</v>
      </c>
      <c r="K23" s="20">
        <v>430</v>
      </c>
      <c r="L23" s="33">
        <f>WorkmanshipResultsTable[[#This Row],[Number of Failed Units]]/WorkmanshipResultsTable[[#This Row],[Total Units Built]]</f>
        <v>2.3255813953488372E-3</v>
      </c>
      <c r="M23" s="25">
        <v>45884</v>
      </c>
      <c r="N23" s="19" t="s">
        <v>29</v>
      </c>
      <c r="O23" s="19" t="s">
        <v>30</v>
      </c>
      <c r="P23" s="20" t="s">
        <v>141</v>
      </c>
      <c r="Q23" s="19"/>
      <c r="R23" s="19"/>
      <c r="S23" s="19"/>
      <c r="T23" s="19"/>
      <c r="U23" s="21"/>
    </row>
    <row r="24" spans="1:21" ht="48" customHeight="1">
      <c r="A24" s="19" t="s">
        <v>21</v>
      </c>
      <c r="B24" s="19" t="s">
        <v>56</v>
      </c>
      <c r="C24" s="19" t="s">
        <v>33</v>
      </c>
      <c r="D24" s="19" t="s">
        <v>52</v>
      </c>
      <c r="E24" s="19"/>
      <c r="F24" s="19" t="s">
        <v>142</v>
      </c>
      <c r="G24" s="19" t="s">
        <v>58</v>
      </c>
      <c r="H24" s="19" t="s">
        <v>66</v>
      </c>
      <c r="I24" s="19" t="s">
        <v>46</v>
      </c>
      <c r="J24" s="20">
        <v>2</v>
      </c>
      <c r="K24" s="20">
        <v>856</v>
      </c>
      <c r="L24" s="33">
        <f>WorkmanshipResultsTable[[#This Row],[Number of Failed Units]]/WorkmanshipResultsTable[[#This Row],[Total Units Built]]</f>
        <v>2.3364485981308409E-3</v>
      </c>
      <c r="M24" s="25">
        <v>45548</v>
      </c>
      <c r="N24" s="19" t="s">
        <v>47</v>
      </c>
      <c r="O24" s="19" t="s">
        <v>48</v>
      </c>
      <c r="P24" s="20"/>
      <c r="Q24" s="19"/>
      <c r="R24" s="19"/>
      <c r="S24" s="19"/>
      <c r="T24" s="19"/>
      <c r="U24" s="21"/>
    </row>
    <row r="25" spans="1:21" ht="76.5">
      <c r="A25" s="19" t="s">
        <v>21</v>
      </c>
      <c r="B25" s="19" t="s">
        <v>41</v>
      </c>
      <c r="C25" s="19" t="s">
        <v>33</v>
      </c>
      <c r="D25" s="19" t="s">
        <v>52</v>
      </c>
      <c r="E25" s="19"/>
      <c r="F25" s="19" t="s">
        <v>143</v>
      </c>
      <c r="G25" s="19" t="s">
        <v>144</v>
      </c>
      <c r="H25" s="19" t="s">
        <v>145</v>
      </c>
      <c r="I25" s="19" t="s">
        <v>46</v>
      </c>
      <c r="J25" s="20">
        <v>1</v>
      </c>
      <c r="K25" s="20">
        <v>391</v>
      </c>
      <c r="L25" s="33">
        <f>WorkmanshipResultsTable[[#This Row],[Number of Failed Units]]/WorkmanshipResultsTable[[#This Row],[Total Units Built]]</f>
        <v>2.5575447570332483E-3</v>
      </c>
      <c r="M25" s="25">
        <v>45825</v>
      </c>
      <c r="N25" s="19" t="s">
        <v>47</v>
      </c>
      <c r="O25" s="19" t="s">
        <v>48</v>
      </c>
      <c r="P25" s="20"/>
      <c r="Q25" s="19"/>
      <c r="R25" s="19"/>
      <c r="S25" s="19"/>
      <c r="T25" s="19"/>
      <c r="U25" s="21"/>
    </row>
    <row r="26" spans="1:21" ht="60.75">
      <c r="A26" s="19" t="s">
        <v>21</v>
      </c>
      <c r="B26" s="19" t="s">
        <v>63</v>
      </c>
      <c r="C26" s="19" t="s">
        <v>33</v>
      </c>
      <c r="D26" s="19" t="s">
        <v>52</v>
      </c>
      <c r="E26" s="19"/>
      <c r="F26" s="19" t="s">
        <v>146</v>
      </c>
      <c r="G26" s="19" t="s">
        <v>147</v>
      </c>
      <c r="H26" s="19" t="s">
        <v>148</v>
      </c>
      <c r="I26" s="19" t="s">
        <v>46</v>
      </c>
      <c r="J26" s="20">
        <v>1</v>
      </c>
      <c r="K26" s="20">
        <v>391</v>
      </c>
      <c r="L26" s="33">
        <f>WorkmanshipResultsTable[[#This Row],[Number of Failed Units]]/WorkmanshipResultsTable[[#This Row],[Total Units Built]]</f>
        <v>2.5575447570332483E-3</v>
      </c>
      <c r="M26" s="25">
        <v>45828</v>
      </c>
      <c r="N26" s="19" t="s">
        <v>47</v>
      </c>
      <c r="O26" s="19" t="s">
        <v>48</v>
      </c>
      <c r="P26" s="20"/>
      <c r="Q26" s="19"/>
      <c r="R26" s="19"/>
      <c r="S26" s="19"/>
      <c r="T26" s="19"/>
      <c r="U26" s="21"/>
    </row>
    <row r="27" spans="1:21" ht="30.75">
      <c r="A27" s="19" t="s">
        <v>21</v>
      </c>
      <c r="B27" s="19" t="s">
        <v>56</v>
      </c>
      <c r="C27" s="19" t="s">
        <v>33</v>
      </c>
      <c r="D27" s="19" t="s">
        <v>64</v>
      </c>
      <c r="E27" s="19"/>
      <c r="F27" s="19" t="s">
        <v>149</v>
      </c>
      <c r="G27" s="19" t="s">
        <v>150</v>
      </c>
      <c r="H27" s="19" t="s">
        <v>151</v>
      </c>
      <c r="I27" s="19" t="s">
        <v>46</v>
      </c>
      <c r="J27" s="20">
        <v>1</v>
      </c>
      <c r="K27" s="20">
        <v>388</v>
      </c>
      <c r="L27" s="33">
        <f>WorkmanshipResultsTable[[#This Row],[Number of Failed Units]]/WorkmanshipResultsTable[[#This Row],[Total Units Built]]</f>
        <v>2.5773195876288659E-3</v>
      </c>
      <c r="M27" s="25">
        <v>45790</v>
      </c>
      <c r="N27" s="19" t="s">
        <v>47</v>
      </c>
      <c r="O27" s="19" t="s">
        <v>48</v>
      </c>
      <c r="P27" s="20"/>
      <c r="Q27" s="19"/>
      <c r="R27" s="19"/>
      <c r="S27" s="19"/>
      <c r="T27" s="19"/>
      <c r="U27" s="21"/>
    </row>
    <row r="28" spans="1:21" ht="60.75">
      <c r="A28" s="19" t="s">
        <v>21</v>
      </c>
      <c r="B28" s="19" t="s">
        <v>32</v>
      </c>
      <c r="C28" s="19" t="s">
        <v>33</v>
      </c>
      <c r="D28" s="19" t="s">
        <v>152</v>
      </c>
      <c r="E28" s="19"/>
      <c r="F28" s="19" t="s">
        <v>153</v>
      </c>
      <c r="G28" s="19" t="s">
        <v>154</v>
      </c>
      <c r="H28" s="19" t="s">
        <v>155</v>
      </c>
      <c r="I28" s="19" t="s">
        <v>77</v>
      </c>
      <c r="J28" s="20">
        <v>1</v>
      </c>
      <c r="K28" s="20">
        <v>387</v>
      </c>
      <c r="L28" s="33">
        <f>WorkmanshipResultsTable[[#This Row],[Number of Failed Units]]/WorkmanshipResultsTable[[#This Row],[Total Units Built]]</f>
        <v>2.5839793281653748E-3</v>
      </c>
      <c r="M28" s="25">
        <v>45907</v>
      </c>
      <c r="N28" s="21" t="s">
        <v>29</v>
      </c>
      <c r="O28" s="19" t="s">
        <v>39</v>
      </c>
      <c r="P28" s="20" t="s">
        <v>156</v>
      </c>
      <c r="Q28" s="19"/>
      <c r="R28" s="19"/>
      <c r="S28" s="19"/>
      <c r="T28" s="19"/>
      <c r="U28" s="21"/>
    </row>
    <row r="29" spans="1:21" ht="60.75">
      <c r="A29" s="19" t="s">
        <v>157</v>
      </c>
      <c r="B29" s="19" t="s">
        <v>41</v>
      </c>
      <c r="C29" s="19" t="s">
        <v>23</v>
      </c>
      <c r="D29" s="19" t="s">
        <v>158</v>
      </c>
      <c r="E29" s="19" t="s">
        <v>159</v>
      </c>
      <c r="F29" s="19" t="s">
        <v>160</v>
      </c>
      <c r="G29" s="19" t="s">
        <v>161</v>
      </c>
      <c r="H29" s="19"/>
      <c r="I29" s="22" t="s">
        <v>38</v>
      </c>
      <c r="J29" s="20">
        <v>1</v>
      </c>
      <c r="K29" s="20">
        <v>377</v>
      </c>
      <c r="L29" s="35">
        <f>WorkmanshipResultsTable[[#This Row],[Number of Failed Units]]/WorkmanshipResultsTable[[#This Row],[Total Units Built]]</f>
        <v>2.6525198938992041E-3</v>
      </c>
      <c r="M29" s="25">
        <v>45417</v>
      </c>
      <c r="N29" s="19" t="s">
        <v>47</v>
      </c>
      <c r="O29" s="19" t="s">
        <v>162</v>
      </c>
      <c r="P29" s="20"/>
      <c r="Q29" s="19"/>
      <c r="R29" s="19"/>
      <c r="S29" s="19"/>
      <c r="T29" s="19"/>
      <c r="U29" s="21"/>
    </row>
    <row r="30" spans="1:21" ht="30.75">
      <c r="A30" s="19" t="s">
        <v>157</v>
      </c>
      <c r="B30" s="19" t="s">
        <v>163</v>
      </c>
      <c r="C30" s="19" t="s">
        <v>23</v>
      </c>
      <c r="D30" s="19" t="s">
        <v>158</v>
      </c>
      <c r="E30" s="19" t="s">
        <v>159</v>
      </c>
      <c r="F30" s="19" t="s">
        <v>164</v>
      </c>
      <c r="G30" s="19" t="s">
        <v>165</v>
      </c>
      <c r="H30" s="19"/>
      <c r="I30" s="22" t="s">
        <v>38</v>
      </c>
      <c r="J30" s="20">
        <v>1</v>
      </c>
      <c r="K30" s="20">
        <v>377</v>
      </c>
      <c r="L30" s="35">
        <f>WorkmanshipResultsTable[[#This Row],[Number of Failed Units]]/WorkmanshipResultsTable[[#This Row],[Total Units Built]]</f>
        <v>2.6525198938992041E-3</v>
      </c>
      <c r="M30" s="25">
        <v>45417</v>
      </c>
      <c r="N30" s="19" t="s">
        <v>47</v>
      </c>
      <c r="O30" s="19" t="s">
        <v>162</v>
      </c>
      <c r="P30" s="20"/>
      <c r="Q30" s="19"/>
      <c r="R30" s="19"/>
      <c r="S30" s="19"/>
      <c r="T30" s="19"/>
      <c r="U30" s="21"/>
    </row>
    <row r="31" spans="1:21" ht="60.75">
      <c r="A31" s="19" t="s">
        <v>21</v>
      </c>
      <c r="B31" s="19" t="s">
        <v>32</v>
      </c>
      <c r="C31" s="19" t="s">
        <v>33</v>
      </c>
      <c r="D31" s="19" t="s">
        <v>64</v>
      </c>
      <c r="E31" s="19"/>
      <c r="F31" s="19" t="s">
        <v>166</v>
      </c>
      <c r="G31" s="19" t="s">
        <v>167</v>
      </c>
      <c r="H31" s="19" t="s">
        <v>168</v>
      </c>
      <c r="I31" s="19" t="s">
        <v>46</v>
      </c>
      <c r="J31" s="20">
        <v>2</v>
      </c>
      <c r="K31" s="20">
        <v>744</v>
      </c>
      <c r="L31" s="35">
        <f>WorkmanshipResultsTable[[#This Row],[Number of Failed Units]]/WorkmanshipResultsTable[[#This Row],[Total Units Built]]</f>
        <v>2.6881720430107529E-3</v>
      </c>
      <c r="M31" s="25">
        <v>45420</v>
      </c>
      <c r="N31" s="21" t="s">
        <v>29</v>
      </c>
      <c r="O31" s="19" t="s">
        <v>39</v>
      </c>
      <c r="P31" s="20" t="s">
        <v>169</v>
      </c>
      <c r="Q31" s="19"/>
      <c r="R31" s="19"/>
      <c r="S31" s="19"/>
      <c r="T31" s="19"/>
      <c r="U31" s="39" t="s">
        <v>79</v>
      </c>
    </row>
    <row r="32" spans="1:21" ht="91.5">
      <c r="A32" s="19" t="s">
        <v>170</v>
      </c>
      <c r="B32" s="19" t="s">
        <v>92</v>
      </c>
      <c r="C32" s="19" t="s">
        <v>33</v>
      </c>
      <c r="D32" s="19" t="s">
        <v>171</v>
      </c>
      <c r="E32" s="39" t="s">
        <v>172</v>
      </c>
      <c r="F32" s="19" t="s">
        <v>173</v>
      </c>
      <c r="G32" s="19" t="s">
        <v>174</v>
      </c>
      <c r="H32" s="19" t="s">
        <v>175</v>
      </c>
      <c r="I32" s="19" t="s">
        <v>176</v>
      </c>
      <c r="J32" s="20">
        <v>1</v>
      </c>
      <c r="K32" s="20">
        <v>364</v>
      </c>
      <c r="L32" s="33">
        <f>WorkmanshipResultsTable[[#This Row],[Number of Failed Units]]/WorkmanshipResultsTable[[#This Row],[Total Units Built]]</f>
        <v>2.7472527472527475E-3</v>
      </c>
      <c r="M32" s="25">
        <v>46101</v>
      </c>
      <c r="N32" s="27" t="s">
        <v>47</v>
      </c>
      <c r="O32" s="19" t="s">
        <v>177</v>
      </c>
      <c r="P32" s="20"/>
      <c r="Q32" s="19"/>
      <c r="R32" s="19"/>
      <c r="S32" s="19"/>
      <c r="T32" s="19"/>
      <c r="U32" s="21"/>
    </row>
    <row r="33" spans="1:21" ht="30.75">
      <c r="A33" s="19" t="s">
        <v>21</v>
      </c>
      <c r="B33" s="19" t="s">
        <v>41</v>
      </c>
      <c r="C33" s="19" t="s">
        <v>33</v>
      </c>
      <c r="D33" s="19" t="s">
        <v>64</v>
      </c>
      <c r="E33" s="19"/>
      <c r="F33" s="19" t="s">
        <v>178</v>
      </c>
      <c r="G33" s="19" t="s">
        <v>179</v>
      </c>
      <c r="H33" s="19" t="s">
        <v>180</v>
      </c>
      <c r="I33" s="19" t="s">
        <v>46</v>
      </c>
      <c r="J33" s="20">
        <v>1</v>
      </c>
      <c r="K33" s="20">
        <v>348</v>
      </c>
      <c r="L33" s="33">
        <f>WorkmanshipResultsTable[[#This Row],[Number of Failed Units]]/WorkmanshipResultsTable[[#This Row],[Total Units Built]]</f>
        <v>2.8735632183908046E-3</v>
      </c>
      <c r="M33" s="25">
        <v>45489</v>
      </c>
      <c r="N33" s="19" t="s">
        <v>47</v>
      </c>
      <c r="O33" s="19" t="s">
        <v>48</v>
      </c>
      <c r="P33" s="20"/>
      <c r="Q33" s="19"/>
      <c r="R33" s="19"/>
      <c r="S33" s="19"/>
      <c r="T33" s="19"/>
      <c r="U33" s="21"/>
    </row>
    <row r="34" spans="1:21" ht="91.5">
      <c r="A34" s="19" t="s">
        <v>157</v>
      </c>
      <c r="B34" s="19" t="s">
        <v>56</v>
      </c>
      <c r="C34" s="19" t="s">
        <v>23</v>
      </c>
      <c r="D34" s="19" t="s">
        <v>181</v>
      </c>
      <c r="E34" s="19" t="s">
        <v>182</v>
      </c>
      <c r="F34" s="19"/>
      <c r="G34" s="19" t="s">
        <v>183</v>
      </c>
      <c r="H34" s="19" t="s">
        <v>184</v>
      </c>
      <c r="I34" s="22" t="s">
        <v>140</v>
      </c>
      <c r="J34" s="23">
        <v>1</v>
      </c>
      <c r="K34" s="23">
        <v>336</v>
      </c>
      <c r="L34" s="33">
        <f>IF(OR(J34="",K34="",K34=0),"",J34/K34)</f>
        <v>2.976190476190476E-3</v>
      </c>
      <c r="M34" s="24" t="s">
        <v>185</v>
      </c>
      <c r="N34" s="19" t="s">
        <v>47</v>
      </c>
      <c r="O34" s="19" t="s">
        <v>186</v>
      </c>
      <c r="P34" s="20"/>
      <c r="Q34" s="19" t="s">
        <v>187</v>
      </c>
      <c r="R34" s="19" t="s">
        <v>188</v>
      </c>
      <c r="S34" s="19" t="s">
        <v>189</v>
      </c>
      <c r="T34" s="19" t="s">
        <v>190</v>
      </c>
      <c r="U34" s="21" t="s">
        <v>119</v>
      </c>
    </row>
    <row r="35" spans="1:21" ht="45.75">
      <c r="A35" s="19" t="s">
        <v>191</v>
      </c>
      <c r="B35" s="19" t="s">
        <v>73</v>
      </c>
      <c r="C35" s="19" t="s">
        <v>23</v>
      </c>
      <c r="D35" s="19" t="s">
        <v>181</v>
      </c>
      <c r="E35" s="19" t="s">
        <v>182</v>
      </c>
      <c r="F35" s="19"/>
      <c r="G35" s="19" t="s">
        <v>192</v>
      </c>
      <c r="H35" s="19" t="s">
        <v>193</v>
      </c>
      <c r="I35" s="22" t="s">
        <v>140</v>
      </c>
      <c r="J35" s="23">
        <v>1</v>
      </c>
      <c r="K35" s="23">
        <v>336</v>
      </c>
      <c r="L35" s="33">
        <f>IF(OR(J35="",K35="",K35=0),"",J35/K35)</f>
        <v>2.976190476190476E-3</v>
      </c>
      <c r="M35" s="24" t="s">
        <v>185</v>
      </c>
      <c r="N35" s="19" t="s">
        <v>47</v>
      </c>
      <c r="O35" s="19" t="s">
        <v>194</v>
      </c>
      <c r="P35" s="20"/>
      <c r="Q35" s="19" t="s">
        <v>195</v>
      </c>
      <c r="R35" s="19" t="s">
        <v>196</v>
      </c>
      <c r="S35" s="19" t="s">
        <v>189</v>
      </c>
      <c r="T35" s="19" t="s">
        <v>190</v>
      </c>
      <c r="U35" s="21" t="s">
        <v>119</v>
      </c>
    </row>
    <row r="36" spans="1:21" ht="45.75">
      <c r="A36" s="19" t="s">
        <v>21</v>
      </c>
      <c r="B36" s="19" t="s">
        <v>22</v>
      </c>
      <c r="C36" s="19" t="s">
        <v>33</v>
      </c>
      <c r="D36" s="19" t="s">
        <v>107</v>
      </c>
      <c r="E36" s="19"/>
      <c r="F36" s="19" t="s">
        <v>197</v>
      </c>
      <c r="G36" s="19" t="s">
        <v>198</v>
      </c>
      <c r="H36" s="19" t="s">
        <v>199</v>
      </c>
      <c r="I36" s="19" t="s">
        <v>111</v>
      </c>
      <c r="J36" s="20">
        <v>1</v>
      </c>
      <c r="K36" s="20">
        <v>323</v>
      </c>
      <c r="L36" s="33">
        <f>WorkmanshipResultsTable[[#This Row],[Number of Failed Units]]/WorkmanshipResultsTable[[#This Row],[Total Units Built]]</f>
        <v>3.0959752321981426E-3</v>
      </c>
      <c r="M36" s="25">
        <v>45499</v>
      </c>
      <c r="N36" s="21" t="s">
        <v>29</v>
      </c>
      <c r="O36" s="19" t="s">
        <v>39</v>
      </c>
      <c r="P36" s="20" t="s">
        <v>200</v>
      </c>
      <c r="Q36" s="19"/>
      <c r="R36" s="19"/>
      <c r="S36" s="19"/>
      <c r="T36" s="19"/>
      <c r="U36" s="21"/>
    </row>
    <row r="37" spans="1:21" ht="30.75">
      <c r="A37" s="19" t="s">
        <v>21</v>
      </c>
      <c r="B37" s="19" t="s">
        <v>56</v>
      </c>
      <c r="C37" s="19" t="s">
        <v>33</v>
      </c>
      <c r="D37" s="19" t="s">
        <v>52</v>
      </c>
      <c r="E37" s="19"/>
      <c r="F37" s="19" t="s">
        <v>201</v>
      </c>
      <c r="G37" s="19" t="s">
        <v>58</v>
      </c>
      <c r="H37" s="19" t="s">
        <v>59</v>
      </c>
      <c r="I37" s="19" t="s">
        <v>46</v>
      </c>
      <c r="J37" s="20">
        <v>3</v>
      </c>
      <c r="K37" s="20">
        <v>947</v>
      </c>
      <c r="L37" s="33">
        <f>WorkmanshipResultsTable[[#This Row],[Number of Failed Units]]/WorkmanshipResultsTable[[#This Row],[Total Units Built]]</f>
        <v>3.1678986272439284E-3</v>
      </c>
      <c r="M37" s="25">
        <v>45533</v>
      </c>
      <c r="N37" s="19" t="s">
        <v>47</v>
      </c>
      <c r="O37" s="19" t="s">
        <v>48</v>
      </c>
      <c r="P37" s="20"/>
      <c r="Q37" s="19"/>
      <c r="R37" s="19"/>
      <c r="S37" s="19"/>
      <c r="T37" s="19"/>
      <c r="U37" s="21"/>
    </row>
    <row r="38" spans="1:21" ht="60.75">
      <c r="A38" s="19" t="s">
        <v>21</v>
      </c>
      <c r="B38" s="19" t="s">
        <v>202</v>
      </c>
      <c r="C38" s="19" t="s">
        <v>33</v>
      </c>
      <c r="D38" s="19" t="s">
        <v>52</v>
      </c>
      <c r="E38" s="19"/>
      <c r="F38" s="19" t="s">
        <v>203</v>
      </c>
      <c r="G38" s="19" t="s">
        <v>204</v>
      </c>
      <c r="H38" s="19" t="s">
        <v>205</v>
      </c>
      <c r="I38" s="19" t="s">
        <v>46</v>
      </c>
      <c r="J38" s="20">
        <v>3</v>
      </c>
      <c r="K38" s="20">
        <v>947</v>
      </c>
      <c r="L38" s="33">
        <f>WorkmanshipResultsTable[[#This Row],[Number of Failed Units]]/WorkmanshipResultsTable[[#This Row],[Total Units Built]]</f>
        <v>3.1678986272439284E-3</v>
      </c>
      <c r="M38" s="25">
        <v>45530</v>
      </c>
      <c r="N38" s="19" t="s">
        <v>47</v>
      </c>
      <c r="O38" s="19" t="s">
        <v>48</v>
      </c>
      <c r="P38" s="20"/>
      <c r="Q38" s="19"/>
      <c r="R38" s="19"/>
      <c r="S38" s="19"/>
      <c r="T38" s="19"/>
      <c r="U38" s="21"/>
    </row>
    <row r="39" spans="1:21" ht="30.75">
      <c r="A39" s="19" t="s">
        <v>157</v>
      </c>
      <c r="B39" s="19" t="s">
        <v>41</v>
      </c>
      <c r="C39" s="19" t="s">
        <v>23</v>
      </c>
      <c r="D39" s="19" t="s">
        <v>158</v>
      </c>
      <c r="E39" s="19" t="s">
        <v>159</v>
      </c>
      <c r="F39" s="19" t="s">
        <v>206</v>
      </c>
      <c r="G39" s="19" t="s">
        <v>207</v>
      </c>
      <c r="H39" s="19" t="s">
        <v>208</v>
      </c>
      <c r="I39" s="22" t="s">
        <v>38</v>
      </c>
      <c r="J39" s="20">
        <v>1</v>
      </c>
      <c r="K39" s="20">
        <v>305</v>
      </c>
      <c r="L39" s="35">
        <f>WorkmanshipResultsTable[[#This Row],[Number of Failed Units]]/WorkmanshipResultsTable[[#This Row],[Total Units Built]]</f>
        <v>3.2786885245901639E-3</v>
      </c>
      <c r="M39" s="25">
        <v>45585</v>
      </c>
      <c r="N39" s="19" t="s">
        <v>47</v>
      </c>
      <c r="O39" s="19" t="s">
        <v>162</v>
      </c>
      <c r="P39" s="20"/>
      <c r="Q39" s="19"/>
      <c r="R39" s="19"/>
      <c r="S39" s="19"/>
      <c r="T39" s="19"/>
      <c r="U39" s="21"/>
    </row>
    <row r="40" spans="1:21" ht="30.75">
      <c r="A40" s="19" t="s">
        <v>113</v>
      </c>
      <c r="B40" s="19" t="s">
        <v>41</v>
      </c>
      <c r="C40" s="19" t="s">
        <v>23</v>
      </c>
      <c r="D40" s="19" t="s">
        <v>125</v>
      </c>
      <c r="E40" s="19" t="s">
        <v>126</v>
      </c>
      <c r="F40" s="19" t="s">
        <v>209</v>
      </c>
      <c r="G40" s="19" t="s">
        <v>210</v>
      </c>
      <c r="H40" s="19" t="s">
        <v>211</v>
      </c>
      <c r="I40" s="19" t="s">
        <v>130</v>
      </c>
      <c r="J40" s="20">
        <v>1</v>
      </c>
      <c r="K40" s="20">
        <v>300</v>
      </c>
      <c r="L40" s="35">
        <f>WorkmanshipResultsTable[[#This Row],[Number of Failed Units]]/WorkmanshipResultsTable[[#This Row],[Total Units Built]]</f>
        <v>3.3333333333333335E-3</v>
      </c>
      <c r="M40" s="26">
        <v>45826</v>
      </c>
      <c r="N40" s="19" t="s">
        <v>47</v>
      </c>
      <c r="O40" s="19" t="s">
        <v>131</v>
      </c>
      <c r="P40" s="20"/>
      <c r="Q40" s="19"/>
      <c r="R40" s="19"/>
      <c r="S40" s="19"/>
      <c r="T40" s="19"/>
      <c r="U40" s="39" t="s">
        <v>79</v>
      </c>
    </row>
    <row r="41" spans="1:21" ht="30.75">
      <c r="A41" s="19" t="s">
        <v>21</v>
      </c>
      <c r="B41" s="19" t="s">
        <v>212</v>
      </c>
      <c r="C41" s="19" t="s">
        <v>23</v>
      </c>
      <c r="D41" s="19" t="s">
        <v>213</v>
      </c>
      <c r="E41" s="19" t="s">
        <v>214</v>
      </c>
      <c r="F41" s="19" t="s">
        <v>215</v>
      </c>
      <c r="G41" s="19" t="s">
        <v>216</v>
      </c>
      <c r="H41" s="19"/>
      <c r="I41" s="19" t="s">
        <v>28</v>
      </c>
      <c r="J41" s="20">
        <v>1</v>
      </c>
      <c r="K41" s="20">
        <v>299</v>
      </c>
      <c r="L41" s="33">
        <f>WorkmanshipResultsTable[[#This Row],[Number of Failed Units]]/WorkmanshipResultsTable[[#This Row],[Total Units Built]]</f>
        <v>3.3444816053511705E-3</v>
      </c>
      <c r="M41" s="25">
        <v>45631</v>
      </c>
      <c r="N41" s="19" t="s">
        <v>29</v>
      </c>
      <c r="O41" s="19" t="s">
        <v>30</v>
      </c>
      <c r="P41" s="20" t="s">
        <v>217</v>
      </c>
      <c r="Q41" s="19"/>
      <c r="R41" s="19"/>
      <c r="S41" s="19"/>
      <c r="T41" s="19"/>
      <c r="U41" s="21"/>
    </row>
    <row r="42" spans="1:21" ht="76.5">
      <c r="A42" s="19" t="s">
        <v>21</v>
      </c>
      <c r="B42" s="19" t="s">
        <v>41</v>
      </c>
      <c r="C42" s="19" t="s">
        <v>33</v>
      </c>
      <c r="D42" s="19" t="s">
        <v>52</v>
      </c>
      <c r="E42" s="19"/>
      <c r="F42" s="19" t="s">
        <v>218</v>
      </c>
      <c r="G42" s="19" t="s">
        <v>71</v>
      </c>
      <c r="H42" s="19" t="s">
        <v>219</v>
      </c>
      <c r="I42" s="19" t="s">
        <v>46</v>
      </c>
      <c r="J42" s="20">
        <v>3</v>
      </c>
      <c r="K42" s="20">
        <v>856</v>
      </c>
      <c r="L42" s="33">
        <f>WorkmanshipResultsTable[[#This Row],[Number of Failed Units]]/WorkmanshipResultsTable[[#This Row],[Total Units Built]]</f>
        <v>3.5046728971962616E-3</v>
      </c>
      <c r="M42" s="25">
        <v>45548</v>
      </c>
      <c r="N42" s="19" t="s">
        <v>47</v>
      </c>
      <c r="O42" s="19" t="s">
        <v>48</v>
      </c>
      <c r="P42" s="20"/>
      <c r="Q42" s="19"/>
      <c r="R42" s="19"/>
      <c r="S42" s="19"/>
      <c r="T42" s="19"/>
      <c r="U42" s="21"/>
    </row>
    <row r="43" spans="1:21" ht="76.5">
      <c r="A43" s="19" t="s">
        <v>21</v>
      </c>
      <c r="B43" s="19" t="s">
        <v>92</v>
      </c>
      <c r="C43" s="19" t="s">
        <v>33</v>
      </c>
      <c r="D43" s="19" t="s">
        <v>220</v>
      </c>
      <c r="E43" s="19"/>
      <c r="F43" s="19" t="s">
        <v>221</v>
      </c>
      <c r="G43" s="19" t="s">
        <v>222</v>
      </c>
      <c r="H43" s="19" t="s">
        <v>223</v>
      </c>
      <c r="I43" s="19" t="s">
        <v>38</v>
      </c>
      <c r="J43" s="20">
        <v>1</v>
      </c>
      <c r="K43" s="20">
        <v>284</v>
      </c>
      <c r="L43" s="35">
        <f>WorkmanshipResultsTable[[#This Row],[Number of Failed Units]]/WorkmanshipResultsTable[[#This Row],[Total Units Built]]</f>
        <v>3.5211267605633804E-3</v>
      </c>
      <c r="M43" s="25">
        <v>45566</v>
      </c>
      <c r="N43" s="21" t="s">
        <v>29</v>
      </c>
      <c r="O43" s="19" t="s">
        <v>39</v>
      </c>
      <c r="P43" s="20" t="s">
        <v>224</v>
      </c>
      <c r="Q43" s="19"/>
      <c r="R43" s="19"/>
      <c r="S43" s="19"/>
      <c r="T43" s="19"/>
      <c r="U43" s="21"/>
    </row>
    <row r="44" spans="1:21">
      <c r="A44" s="19" t="s">
        <v>21</v>
      </c>
      <c r="B44" s="19" t="s">
        <v>32</v>
      </c>
      <c r="C44" s="19" t="s">
        <v>23</v>
      </c>
      <c r="D44" s="19" t="s">
        <v>225</v>
      </c>
      <c r="E44" s="19" t="s">
        <v>226</v>
      </c>
      <c r="F44" s="19" t="s">
        <v>227</v>
      </c>
      <c r="G44" s="19" t="s">
        <v>228</v>
      </c>
      <c r="H44" s="19"/>
      <c r="I44" s="19" t="s">
        <v>111</v>
      </c>
      <c r="J44" s="20">
        <v>1</v>
      </c>
      <c r="K44" s="20">
        <v>284</v>
      </c>
      <c r="L44" s="33">
        <f>WorkmanshipResultsTable[[#This Row],[Number of Failed Units]]/WorkmanshipResultsTable[[#This Row],[Total Units Built]]</f>
        <v>3.5211267605633804E-3</v>
      </c>
      <c r="M44" s="25">
        <v>45391</v>
      </c>
      <c r="N44" s="19" t="s">
        <v>29</v>
      </c>
      <c r="O44" s="19" t="s">
        <v>30</v>
      </c>
      <c r="P44" s="20" t="s">
        <v>229</v>
      </c>
      <c r="Q44" s="19"/>
      <c r="R44" s="19"/>
      <c r="S44" s="19"/>
      <c r="T44" s="19"/>
      <c r="U44" s="21"/>
    </row>
    <row r="45" spans="1:21" ht="91.5">
      <c r="A45" s="19" t="s">
        <v>21</v>
      </c>
      <c r="B45" s="19" t="s">
        <v>163</v>
      </c>
      <c r="C45" s="19" t="s">
        <v>33</v>
      </c>
      <c r="D45" s="19" t="s">
        <v>52</v>
      </c>
      <c r="E45" s="19"/>
      <c r="F45" s="19" t="s">
        <v>230</v>
      </c>
      <c r="G45" s="19" t="s">
        <v>231</v>
      </c>
      <c r="H45" s="19" t="s">
        <v>232</v>
      </c>
      <c r="I45" s="19" t="s">
        <v>46</v>
      </c>
      <c r="J45" s="20">
        <v>2</v>
      </c>
      <c r="K45" s="20">
        <v>540</v>
      </c>
      <c r="L45" s="33">
        <f>WorkmanshipResultsTable[[#This Row],[Number of Failed Units]]/WorkmanshipResultsTable[[#This Row],[Total Units Built]]</f>
        <v>3.7037037037037038E-3</v>
      </c>
      <c r="M45" s="25">
        <v>46101</v>
      </c>
      <c r="N45" s="19" t="s">
        <v>47</v>
      </c>
      <c r="O45" s="19" t="s">
        <v>48</v>
      </c>
      <c r="P45" s="20"/>
      <c r="Q45" s="19"/>
      <c r="R45" s="19"/>
      <c r="S45" s="19"/>
      <c r="T45" s="19"/>
      <c r="U45" s="21" t="s">
        <v>233</v>
      </c>
    </row>
    <row r="46" spans="1:21" ht="30.75">
      <c r="A46" s="19" t="s">
        <v>113</v>
      </c>
      <c r="B46" s="19" t="s">
        <v>92</v>
      </c>
      <c r="C46" s="19" t="s">
        <v>23</v>
      </c>
      <c r="D46" s="19" t="s">
        <v>125</v>
      </c>
      <c r="E46" s="19" t="s">
        <v>234</v>
      </c>
      <c r="F46" s="19" t="s">
        <v>235</v>
      </c>
      <c r="G46" s="19" t="s">
        <v>236</v>
      </c>
      <c r="H46" s="19" t="s">
        <v>237</v>
      </c>
      <c r="I46" s="19" t="s">
        <v>130</v>
      </c>
      <c r="J46" s="20">
        <v>1</v>
      </c>
      <c r="K46" s="20">
        <v>258</v>
      </c>
      <c r="L46" s="35">
        <f>WorkmanshipResultsTable[[#This Row],[Number of Failed Units]]/WorkmanshipResultsTable[[#This Row],[Total Units Built]]</f>
        <v>3.875968992248062E-3</v>
      </c>
      <c r="M46" s="26">
        <v>46008</v>
      </c>
      <c r="N46" s="19" t="s">
        <v>47</v>
      </c>
      <c r="O46" s="19" t="s">
        <v>131</v>
      </c>
      <c r="P46" s="20"/>
      <c r="Q46" s="19"/>
      <c r="R46" s="19"/>
      <c r="S46" s="19"/>
      <c r="T46" s="19"/>
      <c r="U46" s="39" t="s">
        <v>79</v>
      </c>
    </row>
    <row r="47" spans="1:21" ht="60.75">
      <c r="A47" s="19" t="s">
        <v>21</v>
      </c>
      <c r="B47" s="19" t="s">
        <v>202</v>
      </c>
      <c r="C47" s="19" t="s">
        <v>33</v>
      </c>
      <c r="D47" s="19" t="s">
        <v>52</v>
      </c>
      <c r="E47" s="19"/>
      <c r="F47" s="19" t="s">
        <v>238</v>
      </c>
      <c r="G47" s="19" t="s">
        <v>239</v>
      </c>
      <c r="H47" s="19" t="s">
        <v>205</v>
      </c>
      <c r="I47" s="19" t="s">
        <v>46</v>
      </c>
      <c r="J47" s="20">
        <v>2</v>
      </c>
      <c r="K47" s="20">
        <v>516</v>
      </c>
      <c r="L47" s="33">
        <f>WorkmanshipResultsTable[[#This Row],[Number of Failed Units]]/WorkmanshipResultsTable[[#This Row],[Total Units Built]]</f>
        <v>3.875968992248062E-3</v>
      </c>
      <c r="M47" s="25">
        <v>45555</v>
      </c>
      <c r="N47" s="19" t="s">
        <v>47</v>
      </c>
      <c r="O47" s="19" t="s">
        <v>48</v>
      </c>
      <c r="P47" s="20"/>
      <c r="Q47" s="19"/>
      <c r="R47" s="19"/>
      <c r="S47" s="19"/>
      <c r="T47" s="19"/>
      <c r="U47" s="21"/>
    </row>
    <row r="48" spans="1:21" ht="60.75">
      <c r="A48" s="19" t="s">
        <v>21</v>
      </c>
      <c r="B48" s="19" t="s">
        <v>32</v>
      </c>
      <c r="C48" s="19" t="s">
        <v>33</v>
      </c>
      <c r="D48" s="19" t="s">
        <v>240</v>
      </c>
      <c r="E48" s="19" t="s">
        <v>241</v>
      </c>
      <c r="F48" s="19" t="s">
        <v>242</v>
      </c>
      <c r="G48" s="19" t="s">
        <v>243</v>
      </c>
      <c r="H48" s="19" t="s">
        <v>244</v>
      </c>
      <c r="I48" s="19" t="s">
        <v>111</v>
      </c>
      <c r="J48" s="20">
        <v>1</v>
      </c>
      <c r="K48" s="20">
        <v>251</v>
      </c>
      <c r="L48" s="35">
        <f>WorkmanshipResultsTable[[#This Row],[Number of Failed Units]]/WorkmanshipResultsTable[[#This Row],[Total Units Built]]</f>
        <v>3.9840637450199202E-3</v>
      </c>
      <c r="M48" s="25">
        <v>45771</v>
      </c>
      <c r="N48" s="21" t="s">
        <v>29</v>
      </c>
      <c r="O48" s="19" t="s">
        <v>90</v>
      </c>
      <c r="P48" s="20" t="s">
        <v>245</v>
      </c>
      <c r="Q48" s="19"/>
      <c r="R48" s="19"/>
      <c r="S48" s="19"/>
      <c r="T48" s="19"/>
      <c r="U48" s="39" t="s">
        <v>79</v>
      </c>
    </row>
    <row r="49" spans="1:21" ht="30.75">
      <c r="A49" s="19" t="s">
        <v>21</v>
      </c>
      <c r="B49" s="19" t="s">
        <v>163</v>
      </c>
      <c r="C49" s="19" t="s">
        <v>33</v>
      </c>
      <c r="D49" s="19" t="s">
        <v>246</v>
      </c>
      <c r="E49" s="19"/>
      <c r="F49" s="19" t="s">
        <v>247</v>
      </c>
      <c r="G49" s="19" t="s">
        <v>248</v>
      </c>
      <c r="H49" s="19" t="s">
        <v>249</v>
      </c>
      <c r="I49" s="19" t="s">
        <v>46</v>
      </c>
      <c r="J49" s="20">
        <v>1</v>
      </c>
      <c r="K49" s="20">
        <v>251</v>
      </c>
      <c r="L49" s="33">
        <f>WorkmanshipResultsTable[[#This Row],[Number of Failed Units]]/WorkmanshipResultsTable[[#This Row],[Total Units Built]]</f>
        <v>3.9840637450199202E-3</v>
      </c>
      <c r="M49" s="25">
        <v>45320</v>
      </c>
      <c r="N49" s="19" t="s">
        <v>47</v>
      </c>
      <c r="O49" s="19" t="s">
        <v>48</v>
      </c>
      <c r="P49" s="20"/>
      <c r="Q49" s="19"/>
      <c r="R49" s="19"/>
      <c r="S49" s="19"/>
      <c r="T49" s="19"/>
      <c r="U49" s="21"/>
    </row>
    <row r="50" spans="1:21" ht="60.75">
      <c r="A50" s="19" t="s">
        <v>157</v>
      </c>
      <c r="B50" s="19" t="s">
        <v>41</v>
      </c>
      <c r="C50" s="19" t="s">
        <v>23</v>
      </c>
      <c r="D50" s="19" t="s">
        <v>158</v>
      </c>
      <c r="E50" s="19" t="s">
        <v>159</v>
      </c>
      <c r="F50" s="19" t="s">
        <v>250</v>
      </c>
      <c r="G50" s="19" t="s">
        <v>251</v>
      </c>
      <c r="H50" s="19" t="s">
        <v>252</v>
      </c>
      <c r="I50" s="22" t="s">
        <v>38</v>
      </c>
      <c r="J50" s="20">
        <v>1</v>
      </c>
      <c r="K50" s="20">
        <v>251</v>
      </c>
      <c r="L50" s="35">
        <f>WorkmanshipResultsTable[[#This Row],[Number of Failed Units]]/WorkmanshipResultsTable[[#This Row],[Total Units Built]]</f>
        <v>3.9840637450199202E-3</v>
      </c>
      <c r="M50" s="25">
        <v>45557</v>
      </c>
      <c r="N50" s="19" t="s">
        <v>47</v>
      </c>
      <c r="O50" s="19" t="s">
        <v>162</v>
      </c>
      <c r="P50" s="20"/>
      <c r="Q50" s="19"/>
      <c r="R50" s="19"/>
      <c r="S50" s="19"/>
      <c r="T50" s="19"/>
      <c r="U50" s="21"/>
    </row>
    <row r="51" spans="1:21" ht="30.75">
      <c r="A51" s="19" t="s">
        <v>21</v>
      </c>
      <c r="B51" s="19" t="s">
        <v>163</v>
      </c>
      <c r="C51" s="19" t="s">
        <v>33</v>
      </c>
      <c r="D51" s="19" t="s">
        <v>64</v>
      </c>
      <c r="E51" s="19"/>
      <c r="F51" s="19" t="s">
        <v>253</v>
      </c>
      <c r="G51" s="19" t="s">
        <v>254</v>
      </c>
      <c r="H51" s="19" t="s">
        <v>145</v>
      </c>
      <c r="I51" s="19" t="s">
        <v>46</v>
      </c>
      <c r="J51" s="20">
        <v>3</v>
      </c>
      <c r="K51" s="20">
        <v>750</v>
      </c>
      <c r="L51" s="33">
        <f>WorkmanshipResultsTable[[#This Row],[Number of Failed Units]]/WorkmanshipResultsTable[[#This Row],[Total Units Built]]</f>
        <v>4.0000000000000001E-3</v>
      </c>
      <c r="M51" s="25">
        <v>45742</v>
      </c>
      <c r="N51" s="19" t="s">
        <v>47</v>
      </c>
      <c r="O51" s="19" t="s">
        <v>48</v>
      </c>
      <c r="P51" s="20"/>
      <c r="Q51" s="19"/>
      <c r="R51" s="19"/>
      <c r="S51" s="19"/>
      <c r="T51" s="19"/>
      <c r="U51" s="21"/>
    </row>
    <row r="52" spans="1:21" ht="91.5">
      <c r="A52" s="19" t="s">
        <v>21</v>
      </c>
      <c r="B52" s="19" t="s">
        <v>41</v>
      </c>
      <c r="C52" s="19" t="s">
        <v>33</v>
      </c>
      <c r="D52" s="19" t="s">
        <v>52</v>
      </c>
      <c r="E52" s="19"/>
      <c r="F52" s="19" t="s">
        <v>255</v>
      </c>
      <c r="G52" s="19" t="s">
        <v>256</v>
      </c>
      <c r="H52" s="19" t="s">
        <v>257</v>
      </c>
      <c r="I52" s="19" t="s">
        <v>46</v>
      </c>
      <c r="J52" s="20">
        <v>1</v>
      </c>
      <c r="K52" s="20">
        <v>245</v>
      </c>
      <c r="L52" s="33">
        <f>WorkmanshipResultsTable[[#This Row],[Number of Failed Units]]/WorkmanshipResultsTable[[#This Row],[Total Units Built]]</f>
        <v>4.0816326530612249E-3</v>
      </c>
      <c r="M52" s="25">
        <v>45810</v>
      </c>
      <c r="N52" s="19" t="s">
        <v>47</v>
      </c>
      <c r="O52" s="19" t="s">
        <v>48</v>
      </c>
      <c r="P52" s="20"/>
      <c r="Q52" s="19"/>
      <c r="R52" s="19"/>
      <c r="S52" s="19"/>
      <c r="T52" s="19"/>
      <c r="U52" s="21"/>
    </row>
    <row r="53" spans="1:21" ht="30.75">
      <c r="A53" s="19" t="s">
        <v>21</v>
      </c>
      <c r="B53" s="19" t="s">
        <v>56</v>
      </c>
      <c r="C53" s="19" t="s">
        <v>33</v>
      </c>
      <c r="D53" s="19" t="s">
        <v>52</v>
      </c>
      <c r="E53" s="19"/>
      <c r="F53" s="19" t="s">
        <v>258</v>
      </c>
      <c r="G53" s="19" t="s">
        <v>58</v>
      </c>
      <c r="H53" s="19" t="s">
        <v>66</v>
      </c>
      <c r="I53" s="19" t="s">
        <v>46</v>
      </c>
      <c r="J53" s="20">
        <v>1</v>
      </c>
      <c r="K53" s="20">
        <v>244</v>
      </c>
      <c r="L53" s="33">
        <f>WorkmanshipResultsTable[[#This Row],[Number of Failed Units]]/WorkmanshipResultsTable[[#This Row],[Total Units Built]]</f>
        <v>4.0983606557377051E-3</v>
      </c>
      <c r="M53" s="25">
        <v>45671</v>
      </c>
      <c r="N53" s="19" t="s">
        <v>47</v>
      </c>
      <c r="O53" s="19" t="s">
        <v>48</v>
      </c>
      <c r="P53" s="20"/>
      <c r="Q53" s="19"/>
      <c r="R53" s="19"/>
      <c r="S53" s="19"/>
      <c r="T53" s="19"/>
      <c r="U53" s="21"/>
    </row>
    <row r="54" spans="1:21" ht="30.75">
      <c r="A54" s="19" t="s">
        <v>157</v>
      </c>
      <c r="B54" s="19" t="s">
        <v>41</v>
      </c>
      <c r="C54" s="19" t="s">
        <v>23</v>
      </c>
      <c r="D54" s="32" t="s">
        <v>158</v>
      </c>
      <c r="E54" s="19" t="s">
        <v>159</v>
      </c>
      <c r="F54" s="19" t="s">
        <v>259</v>
      </c>
      <c r="G54" s="19" t="s">
        <v>260</v>
      </c>
      <c r="H54" s="19" t="s">
        <v>261</v>
      </c>
      <c r="I54" s="22" t="s">
        <v>38</v>
      </c>
      <c r="J54" s="20">
        <v>1</v>
      </c>
      <c r="K54" s="20">
        <v>241</v>
      </c>
      <c r="L54" s="35">
        <f>WorkmanshipResultsTable[[#This Row],[Number of Failed Units]]/WorkmanshipResultsTable[[#This Row],[Total Units Built]]</f>
        <v>4.1493775933609959E-3</v>
      </c>
      <c r="M54" s="25">
        <v>45403</v>
      </c>
      <c r="N54" s="19" t="s">
        <v>47</v>
      </c>
      <c r="O54" s="19" t="s">
        <v>162</v>
      </c>
      <c r="P54" s="20"/>
      <c r="Q54" s="19"/>
      <c r="R54" s="19"/>
      <c r="S54" s="19"/>
      <c r="T54" s="19"/>
      <c r="U54" s="21"/>
    </row>
    <row r="55" spans="1:21" ht="30.75">
      <c r="A55" s="19" t="s">
        <v>21</v>
      </c>
      <c r="B55" s="19" t="s">
        <v>41</v>
      </c>
      <c r="C55" s="19" t="s">
        <v>33</v>
      </c>
      <c r="D55" s="19" t="s">
        <v>52</v>
      </c>
      <c r="E55" s="19"/>
      <c r="F55" s="19" t="s">
        <v>262</v>
      </c>
      <c r="G55" s="19" t="s">
        <v>263</v>
      </c>
      <c r="H55" s="19" t="s">
        <v>264</v>
      </c>
      <c r="I55" s="19" t="s">
        <v>46</v>
      </c>
      <c r="J55" s="20">
        <v>3</v>
      </c>
      <c r="K55" s="20">
        <v>702</v>
      </c>
      <c r="L55" s="33">
        <f>WorkmanshipResultsTable[[#This Row],[Number of Failed Units]]/WorkmanshipResultsTable[[#This Row],[Total Units Built]]</f>
        <v>4.2735042735042739E-3</v>
      </c>
      <c r="M55" s="25">
        <v>45387</v>
      </c>
      <c r="N55" s="19" t="s">
        <v>47</v>
      </c>
      <c r="O55" s="19" t="s">
        <v>48</v>
      </c>
      <c r="P55" s="20"/>
      <c r="Q55" s="19"/>
      <c r="R55" s="19"/>
      <c r="S55" s="19"/>
      <c r="T55" s="19"/>
      <c r="U55" s="21"/>
    </row>
    <row r="56" spans="1:21" ht="30.75">
      <c r="A56" s="19" t="s">
        <v>113</v>
      </c>
      <c r="B56" s="19" t="s">
        <v>41</v>
      </c>
      <c r="C56" s="19" t="s">
        <v>23</v>
      </c>
      <c r="D56" s="19" t="s">
        <v>265</v>
      </c>
      <c r="E56" s="19" t="s">
        <v>266</v>
      </c>
      <c r="F56" s="19" t="s">
        <v>267</v>
      </c>
      <c r="G56" s="19" t="s">
        <v>268</v>
      </c>
      <c r="H56" s="19" t="s">
        <v>269</v>
      </c>
      <c r="I56" s="19" t="s">
        <v>130</v>
      </c>
      <c r="J56" s="20">
        <v>1</v>
      </c>
      <c r="K56" s="20">
        <v>225</v>
      </c>
      <c r="L56" s="35">
        <f>WorkmanshipResultsTable[[#This Row],[Number of Failed Units]]/WorkmanshipResultsTable[[#This Row],[Total Units Built]]</f>
        <v>4.4444444444444444E-3</v>
      </c>
      <c r="M56" s="26">
        <v>45775</v>
      </c>
      <c r="N56" s="19" t="s">
        <v>47</v>
      </c>
      <c r="O56" s="19" t="s">
        <v>131</v>
      </c>
      <c r="P56" s="20"/>
      <c r="Q56" s="19"/>
      <c r="R56" s="19"/>
      <c r="S56" s="19"/>
      <c r="T56" s="19"/>
      <c r="U56" s="39" t="s">
        <v>79</v>
      </c>
    </row>
    <row r="57" spans="1:21" ht="30.75">
      <c r="A57" s="19" t="s">
        <v>113</v>
      </c>
      <c r="B57" s="19" t="s">
        <v>163</v>
      </c>
      <c r="C57" s="19" t="s">
        <v>23</v>
      </c>
      <c r="D57" s="19" t="s">
        <v>270</v>
      </c>
      <c r="E57" s="19" t="s">
        <v>271</v>
      </c>
      <c r="F57" s="19" t="s">
        <v>272</v>
      </c>
      <c r="G57" s="19" t="s">
        <v>273</v>
      </c>
      <c r="H57" s="19" t="s">
        <v>274</v>
      </c>
      <c r="I57" s="19" t="s">
        <v>130</v>
      </c>
      <c r="J57" s="20">
        <v>1</v>
      </c>
      <c r="K57" s="20">
        <v>217</v>
      </c>
      <c r="L57" s="35">
        <f>WorkmanshipResultsTable[[#This Row],[Number of Failed Units]]/WorkmanshipResultsTable[[#This Row],[Total Units Built]]</f>
        <v>4.608294930875576E-3</v>
      </c>
      <c r="M57" s="26">
        <v>45763</v>
      </c>
      <c r="N57" s="19" t="s">
        <v>47</v>
      </c>
      <c r="O57" s="19" t="s">
        <v>131</v>
      </c>
      <c r="P57" s="20"/>
      <c r="Q57" s="19"/>
      <c r="R57" s="19"/>
      <c r="S57" s="19"/>
      <c r="T57" s="19"/>
      <c r="U57" s="39" t="s">
        <v>79</v>
      </c>
    </row>
    <row r="58" spans="1:21" ht="30.75">
      <c r="A58" s="19" t="s">
        <v>113</v>
      </c>
      <c r="B58" s="19" t="s">
        <v>163</v>
      </c>
      <c r="C58" s="19" t="s">
        <v>23</v>
      </c>
      <c r="D58" s="19" t="s">
        <v>270</v>
      </c>
      <c r="E58" s="19" t="s">
        <v>275</v>
      </c>
      <c r="F58" s="19" t="s">
        <v>276</v>
      </c>
      <c r="G58" s="19" t="s">
        <v>277</v>
      </c>
      <c r="H58" s="19" t="s">
        <v>274</v>
      </c>
      <c r="I58" s="19" t="s">
        <v>130</v>
      </c>
      <c r="J58" s="20">
        <v>1</v>
      </c>
      <c r="K58" s="20">
        <v>217</v>
      </c>
      <c r="L58" s="35">
        <f>WorkmanshipResultsTable[[#This Row],[Number of Failed Units]]/WorkmanshipResultsTable[[#This Row],[Total Units Built]]</f>
        <v>4.608294930875576E-3</v>
      </c>
      <c r="M58" s="26">
        <v>45765</v>
      </c>
      <c r="N58" s="19" t="s">
        <v>47</v>
      </c>
      <c r="O58" s="19" t="s">
        <v>131</v>
      </c>
      <c r="P58" s="20"/>
      <c r="Q58" s="19"/>
      <c r="R58" s="19"/>
      <c r="S58" s="19"/>
      <c r="T58" s="19"/>
      <c r="U58" s="39" t="s">
        <v>79</v>
      </c>
    </row>
    <row r="59" spans="1:21" ht="30.75">
      <c r="A59" s="19" t="s">
        <v>21</v>
      </c>
      <c r="B59" s="19" t="s">
        <v>85</v>
      </c>
      <c r="C59" s="19" t="s">
        <v>23</v>
      </c>
      <c r="D59" s="19" t="s">
        <v>158</v>
      </c>
      <c r="E59" s="19" t="s">
        <v>159</v>
      </c>
      <c r="F59" s="19" t="s">
        <v>278</v>
      </c>
      <c r="G59" s="19" t="s">
        <v>279</v>
      </c>
      <c r="H59" s="19" t="s">
        <v>280</v>
      </c>
      <c r="I59" s="22" t="s">
        <v>38</v>
      </c>
      <c r="J59" s="20">
        <v>1</v>
      </c>
      <c r="K59" s="20">
        <v>200</v>
      </c>
      <c r="L59" s="35">
        <f>WorkmanshipResultsTable[[#This Row],[Number of Failed Units]]/WorkmanshipResultsTable[[#This Row],[Total Units Built]]</f>
        <v>5.0000000000000001E-3</v>
      </c>
      <c r="M59" s="25">
        <v>45368</v>
      </c>
      <c r="N59" s="19" t="s">
        <v>47</v>
      </c>
      <c r="O59" s="19" t="s">
        <v>162</v>
      </c>
      <c r="P59" s="20"/>
      <c r="Q59" s="19"/>
      <c r="R59" s="19"/>
      <c r="S59" s="19"/>
      <c r="T59" s="19"/>
      <c r="U59" s="21"/>
    </row>
    <row r="60" spans="1:21" ht="30.75">
      <c r="A60" s="19" t="s">
        <v>21</v>
      </c>
      <c r="B60" s="19" t="s">
        <v>212</v>
      </c>
      <c r="C60" s="19" t="s">
        <v>23</v>
      </c>
      <c r="D60" s="19" t="s">
        <v>281</v>
      </c>
      <c r="E60" s="19" t="s">
        <v>282</v>
      </c>
      <c r="F60" s="19" t="s">
        <v>283</v>
      </c>
      <c r="G60" s="19" t="s">
        <v>284</v>
      </c>
      <c r="H60" s="19"/>
      <c r="I60" s="19" t="s">
        <v>28</v>
      </c>
      <c r="J60" s="20">
        <v>1</v>
      </c>
      <c r="K60" s="20">
        <v>199</v>
      </c>
      <c r="L60" s="33">
        <f>WorkmanshipResultsTable[[#This Row],[Number of Failed Units]]/WorkmanshipResultsTable[[#This Row],[Total Units Built]]</f>
        <v>5.0251256281407036E-3</v>
      </c>
      <c r="M60" s="25">
        <v>45664</v>
      </c>
      <c r="N60" s="19" t="s">
        <v>29</v>
      </c>
      <c r="O60" s="19" t="s">
        <v>30</v>
      </c>
      <c r="P60" s="20" t="s">
        <v>285</v>
      </c>
      <c r="Q60" s="19"/>
      <c r="R60" s="19"/>
      <c r="S60" s="19"/>
      <c r="T60" s="19"/>
      <c r="U60" s="21"/>
    </row>
    <row r="61" spans="1:21" ht="30.75">
      <c r="A61" s="19" t="s">
        <v>21</v>
      </c>
      <c r="B61" s="19" t="s">
        <v>63</v>
      </c>
      <c r="C61" s="19" t="s">
        <v>33</v>
      </c>
      <c r="D61" s="19" t="s">
        <v>286</v>
      </c>
      <c r="E61" s="19"/>
      <c r="F61" s="19" t="s">
        <v>287</v>
      </c>
      <c r="G61" s="19" t="s">
        <v>288</v>
      </c>
      <c r="H61" s="19" t="s">
        <v>51</v>
      </c>
      <c r="I61" s="19" t="s">
        <v>46</v>
      </c>
      <c r="J61" s="20">
        <v>1</v>
      </c>
      <c r="K61" s="20">
        <v>198</v>
      </c>
      <c r="L61" s="33">
        <f>WorkmanshipResultsTable[[#This Row],[Number of Failed Units]]/WorkmanshipResultsTable[[#This Row],[Total Units Built]]</f>
        <v>5.0505050505050509E-3</v>
      </c>
      <c r="M61" s="25">
        <v>45625</v>
      </c>
      <c r="N61" s="19" t="s">
        <v>47</v>
      </c>
      <c r="O61" s="19" t="s">
        <v>48</v>
      </c>
      <c r="P61" s="20"/>
      <c r="Q61" s="19"/>
      <c r="R61" s="19"/>
      <c r="S61" s="19"/>
      <c r="T61" s="19"/>
      <c r="U61" s="21"/>
    </row>
    <row r="62" spans="1:21" ht="30.75">
      <c r="A62" s="19" t="s">
        <v>21</v>
      </c>
      <c r="B62" s="19" t="s">
        <v>63</v>
      </c>
      <c r="C62" s="19" t="s">
        <v>23</v>
      </c>
      <c r="D62" s="19" t="s">
        <v>158</v>
      </c>
      <c r="E62" s="19" t="s">
        <v>159</v>
      </c>
      <c r="F62" s="19" t="s">
        <v>289</v>
      </c>
      <c r="G62" s="19" t="s">
        <v>290</v>
      </c>
      <c r="H62" s="19" t="s">
        <v>291</v>
      </c>
      <c r="I62" s="19" t="s">
        <v>28</v>
      </c>
      <c r="J62" s="20">
        <v>1</v>
      </c>
      <c r="K62" s="20">
        <v>194</v>
      </c>
      <c r="L62" s="33">
        <f>WorkmanshipResultsTable[[#This Row],[Number of Failed Units]]/WorkmanshipResultsTable[[#This Row],[Total Units Built]]</f>
        <v>5.1546391752577319E-3</v>
      </c>
      <c r="M62" s="25">
        <v>45659</v>
      </c>
      <c r="N62" s="19" t="s">
        <v>29</v>
      </c>
      <c r="O62" s="19" t="s">
        <v>30</v>
      </c>
      <c r="P62" s="20" t="s">
        <v>292</v>
      </c>
      <c r="Q62" s="19"/>
      <c r="R62" s="19"/>
      <c r="S62" s="19"/>
      <c r="T62" s="19"/>
      <c r="U62" s="21"/>
    </row>
    <row r="63" spans="1:21" ht="30.75">
      <c r="A63" s="19" t="s">
        <v>21</v>
      </c>
      <c r="B63" s="19" t="s">
        <v>63</v>
      </c>
      <c r="C63" s="19" t="s">
        <v>33</v>
      </c>
      <c r="D63" s="19" t="s">
        <v>52</v>
      </c>
      <c r="E63" s="19"/>
      <c r="F63" s="19" t="s">
        <v>293</v>
      </c>
      <c r="G63" s="19" t="s">
        <v>58</v>
      </c>
      <c r="H63" s="19" t="s">
        <v>66</v>
      </c>
      <c r="I63" s="19" t="s">
        <v>46</v>
      </c>
      <c r="J63" s="20">
        <v>4</v>
      </c>
      <c r="K63" s="20">
        <v>772</v>
      </c>
      <c r="L63" s="33">
        <f>WorkmanshipResultsTable[[#This Row],[Number of Failed Units]]/WorkmanshipResultsTable[[#This Row],[Total Units Built]]</f>
        <v>5.1813471502590676E-3</v>
      </c>
      <c r="M63" s="25">
        <v>45584</v>
      </c>
      <c r="N63" s="19" t="s">
        <v>47</v>
      </c>
      <c r="O63" s="19" t="s">
        <v>48</v>
      </c>
      <c r="P63" s="20"/>
      <c r="Q63" s="19"/>
      <c r="R63" s="19"/>
      <c r="S63" s="19"/>
      <c r="T63" s="19"/>
      <c r="U63" s="21"/>
    </row>
    <row r="64" spans="1:21" ht="45.75">
      <c r="A64" s="19" t="s">
        <v>21</v>
      </c>
      <c r="B64" s="19" t="s">
        <v>92</v>
      </c>
      <c r="C64" s="19" t="s">
        <v>33</v>
      </c>
      <c r="D64" s="19" t="s">
        <v>294</v>
      </c>
      <c r="E64" s="19"/>
      <c r="F64" s="19" t="s">
        <v>295</v>
      </c>
      <c r="G64" s="19" t="s">
        <v>296</v>
      </c>
      <c r="H64" s="19" t="s">
        <v>297</v>
      </c>
      <c r="I64" s="19" t="s">
        <v>46</v>
      </c>
      <c r="J64" s="20">
        <v>1</v>
      </c>
      <c r="K64" s="20">
        <v>192</v>
      </c>
      <c r="L64" s="33">
        <f>WorkmanshipResultsTable[[#This Row],[Number of Failed Units]]/WorkmanshipResultsTable[[#This Row],[Total Units Built]]</f>
        <v>5.208333333333333E-3</v>
      </c>
      <c r="M64" s="25">
        <v>45523</v>
      </c>
      <c r="N64" s="19" t="s">
        <v>47</v>
      </c>
      <c r="O64" s="19" t="s">
        <v>48</v>
      </c>
      <c r="P64" s="20"/>
      <c r="Q64" s="19"/>
      <c r="R64" s="19"/>
      <c r="S64" s="19"/>
      <c r="T64" s="19"/>
      <c r="U64" s="21"/>
    </row>
    <row r="65" spans="1:21" ht="45.75">
      <c r="A65" s="19" t="s">
        <v>21</v>
      </c>
      <c r="B65" s="19" t="s">
        <v>63</v>
      </c>
      <c r="C65" s="19" t="s">
        <v>33</v>
      </c>
      <c r="D65" s="19" t="s">
        <v>298</v>
      </c>
      <c r="E65" s="19"/>
      <c r="F65" s="19" t="s">
        <v>299</v>
      </c>
      <c r="G65" s="19" t="s">
        <v>300</v>
      </c>
      <c r="H65" s="19" t="s">
        <v>95</v>
      </c>
      <c r="I65" s="19" t="s">
        <v>46</v>
      </c>
      <c r="J65" s="20">
        <v>1</v>
      </c>
      <c r="K65" s="20">
        <v>190</v>
      </c>
      <c r="L65" s="33">
        <f>WorkmanshipResultsTable[[#This Row],[Number of Failed Units]]/WorkmanshipResultsTable[[#This Row],[Total Units Built]]</f>
        <v>5.263157894736842E-3</v>
      </c>
      <c r="M65" s="25">
        <v>45541</v>
      </c>
      <c r="N65" s="19" t="s">
        <v>47</v>
      </c>
      <c r="O65" s="19" t="s">
        <v>48</v>
      </c>
      <c r="P65" s="20"/>
      <c r="Q65" s="19"/>
      <c r="R65" s="19"/>
      <c r="S65" s="19"/>
      <c r="T65" s="19"/>
      <c r="U65" s="21"/>
    </row>
    <row r="66" spans="1:21" ht="30.75">
      <c r="A66" s="19" t="s">
        <v>21</v>
      </c>
      <c r="B66" s="19" t="s">
        <v>41</v>
      </c>
      <c r="C66" s="19" t="s">
        <v>33</v>
      </c>
      <c r="D66" s="19" t="s">
        <v>52</v>
      </c>
      <c r="E66" s="19"/>
      <c r="F66" s="19" t="s">
        <v>301</v>
      </c>
      <c r="G66" s="19" t="s">
        <v>302</v>
      </c>
      <c r="H66" s="19" t="s">
        <v>303</v>
      </c>
      <c r="I66" s="19" t="s">
        <v>46</v>
      </c>
      <c r="J66" s="20">
        <v>3</v>
      </c>
      <c r="K66" s="20">
        <v>569</v>
      </c>
      <c r="L66" s="33">
        <f>WorkmanshipResultsTable[[#This Row],[Number of Failed Units]]/WorkmanshipResultsTable[[#This Row],[Total Units Built]]</f>
        <v>5.272407732864675E-3</v>
      </c>
      <c r="M66" s="25">
        <v>45345</v>
      </c>
      <c r="N66" s="19" t="s">
        <v>47</v>
      </c>
      <c r="O66" s="19" t="s">
        <v>48</v>
      </c>
      <c r="P66" s="20"/>
      <c r="Q66" s="19"/>
      <c r="R66" s="19"/>
      <c r="S66" s="19"/>
      <c r="T66" s="19"/>
      <c r="U66" s="21"/>
    </row>
    <row r="67" spans="1:21">
      <c r="A67" s="19" t="s">
        <v>157</v>
      </c>
      <c r="B67" s="19" t="s">
        <v>41</v>
      </c>
      <c r="C67" s="19" t="s">
        <v>23</v>
      </c>
      <c r="D67" s="19" t="s">
        <v>158</v>
      </c>
      <c r="E67" s="19" t="s">
        <v>159</v>
      </c>
      <c r="F67" s="19" t="s">
        <v>304</v>
      </c>
      <c r="G67" s="19" t="s">
        <v>305</v>
      </c>
      <c r="H67" s="19" t="s">
        <v>306</v>
      </c>
      <c r="I67" s="22" t="s">
        <v>38</v>
      </c>
      <c r="J67" s="20">
        <v>1</v>
      </c>
      <c r="K67" s="20">
        <v>188</v>
      </c>
      <c r="L67" s="35">
        <f>WorkmanshipResultsTable[[#This Row],[Number of Failed Units]]/WorkmanshipResultsTable[[#This Row],[Total Units Built]]</f>
        <v>5.3191489361702126E-3</v>
      </c>
      <c r="M67" s="25">
        <v>45431</v>
      </c>
      <c r="N67" s="19" t="s">
        <v>47</v>
      </c>
      <c r="O67" s="19" t="s">
        <v>162</v>
      </c>
      <c r="P67" s="20"/>
      <c r="Q67" s="19"/>
      <c r="R67" s="19"/>
      <c r="S67" s="19"/>
      <c r="T67" s="19"/>
      <c r="U67" s="21"/>
    </row>
    <row r="68" spans="1:21" ht="45.75">
      <c r="A68" s="19" t="s">
        <v>191</v>
      </c>
      <c r="B68" s="19" t="s">
        <v>73</v>
      </c>
      <c r="C68" s="19" t="s">
        <v>23</v>
      </c>
      <c r="D68" s="19" t="s">
        <v>307</v>
      </c>
      <c r="E68" s="19" t="s">
        <v>308</v>
      </c>
      <c r="F68" s="19"/>
      <c r="G68" s="19" t="s">
        <v>309</v>
      </c>
      <c r="H68" s="19" t="s">
        <v>310</v>
      </c>
      <c r="I68" s="22" t="s">
        <v>140</v>
      </c>
      <c r="J68" s="23">
        <v>2</v>
      </c>
      <c r="K68" s="23">
        <v>376</v>
      </c>
      <c r="L68" s="33">
        <f>IF(OR(J68="",K68="",K68=0),"",J68/K68)</f>
        <v>5.3191489361702126E-3</v>
      </c>
      <c r="M68" s="24" t="s">
        <v>311</v>
      </c>
      <c r="N68" s="19" t="s">
        <v>47</v>
      </c>
      <c r="O68" s="19" t="s">
        <v>312</v>
      </c>
      <c r="P68" s="20"/>
      <c r="Q68" s="19" t="s">
        <v>313</v>
      </c>
      <c r="R68" s="19" t="s">
        <v>314</v>
      </c>
      <c r="S68" s="19" t="s">
        <v>189</v>
      </c>
      <c r="T68" s="19" t="s">
        <v>315</v>
      </c>
      <c r="U68" s="21" t="s">
        <v>119</v>
      </c>
    </row>
    <row r="69" spans="1:21" ht="76.5">
      <c r="A69" s="19" t="s">
        <v>191</v>
      </c>
      <c r="B69" s="19" t="s">
        <v>73</v>
      </c>
      <c r="C69" s="19" t="s">
        <v>23</v>
      </c>
      <c r="D69" s="19" t="s">
        <v>307</v>
      </c>
      <c r="E69" s="19" t="s">
        <v>308</v>
      </c>
      <c r="F69" s="19"/>
      <c r="G69" s="19" t="s">
        <v>316</v>
      </c>
      <c r="H69" s="19" t="s">
        <v>317</v>
      </c>
      <c r="I69" s="22" t="s">
        <v>140</v>
      </c>
      <c r="J69" s="23">
        <v>2</v>
      </c>
      <c r="K69" s="23">
        <v>376</v>
      </c>
      <c r="L69" s="33">
        <f>IF(OR(J69="",K69="",K69=0),"",J69/K69)</f>
        <v>5.3191489361702126E-3</v>
      </c>
      <c r="M69" s="24" t="s">
        <v>311</v>
      </c>
      <c r="N69" s="19" t="s">
        <v>47</v>
      </c>
      <c r="O69" s="19" t="s">
        <v>318</v>
      </c>
      <c r="P69" s="20"/>
      <c r="Q69" s="19" t="s">
        <v>319</v>
      </c>
      <c r="R69" s="19" t="s">
        <v>320</v>
      </c>
      <c r="S69" s="19" t="s">
        <v>189</v>
      </c>
      <c r="T69" s="19" t="s">
        <v>315</v>
      </c>
      <c r="U69" s="21" t="s">
        <v>119</v>
      </c>
    </row>
    <row r="70" spans="1:21" ht="30.75">
      <c r="A70" s="19" t="s">
        <v>21</v>
      </c>
      <c r="B70" s="19" t="s">
        <v>63</v>
      </c>
      <c r="C70" s="19" t="s">
        <v>33</v>
      </c>
      <c r="D70" s="19" t="s">
        <v>64</v>
      </c>
      <c r="E70" s="19"/>
      <c r="F70" s="19" t="s">
        <v>321</v>
      </c>
      <c r="G70" s="19" t="s">
        <v>58</v>
      </c>
      <c r="H70" s="19" t="s">
        <v>66</v>
      </c>
      <c r="I70" s="19" t="s">
        <v>46</v>
      </c>
      <c r="J70" s="20">
        <v>4</v>
      </c>
      <c r="K70" s="20">
        <v>750</v>
      </c>
      <c r="L70" s="33">
        <f>WorkmanshipResultsTable[[#This Row],[Number of Failed Units]]/WorkmanshipResultsTable[[#This Row],[Total Units Built]]</f>
        <v>5.3333333333333332E-3</v>
      </c>
      <c r="M70" s="25">
        <v>45744</v>
      </c>
      <c r="N70" s="19" t="s">
        <v>47</v>
      </c>
      <c r="O70" s="19" t="s">
        <v>48</v>
      </c>
      <c r="P70" s="20"/>
      <c r="Q70" s="19"/>
      <c r="R70" s="19"/>
      <c r="S70" s="19"/>
      <c r="T70" s="19"/>
      <c r="U70" s="21"/>
    </row>
    <row r="71" spans="1:21" ht="45.75">
      <c r="A71" s="19" t="s">
        <v>157</v>
      </c>
      <c r="B71" s="19" t="s">
        <v>41</v>
      </c>
      <c r="C71" s="19" t="s">
        <v>23</v>
      </c>
      <c r="D71" s="19" t="s">
        <v>322</v>
      </c>
      <c r="E71" s="19" t="s">
        <v>323</v>
      </c>
      <c r="F71" s="19"/>
      <c r="G71" s="19" t="s">
        <v>324</v>
      </c>
      <c r="H71" s="19" t="s">
        <v>325</v>
      </c>
      <c r="I71" s="22" t="s">
        <v>140</v>
      </c>
      <c r="J71" s="20">
        <v>2</v>
      </c>
      <c r="K71" s="20">
        <v>368</v>
      </c>
      <c r="L71" s="35">
        <f>WorkmanshipResultsTable[[#This Row],[Number of Failed Units]]/WorkmanshipResultsTable[[#This Row],[Total Units Built]]</f>
        <v>5.434782608695652E-3</v>
      </c>
      <c r="M71" s="20" t="s">
        <v>326</v>
      </c>
      <c r="N71" s="19" t="s">
        <v>47</v>
      </c>
      <c r="O71" s="19" t="s">
        <v>327</v>
      </c>
      <c r="P71" s="20"/>
      <c r="Q71" s="19"/>
      <c r="R71" s="19"/>
      <c r="S71" s="19"/>
      <c r="T71" s="19"/>
      <c r="U71" s="39" t="s">
        <v>119</v>
      </c>
    </row>
    <row r="72" spans="1:21" ht="60.75">
      <c r="A72" s="19" t="s">
        <v>21</v>
      </c>
      <c r="B72" s="19" t="s">
        <v>41</v>
      </c>
      <c r="C72" s="19" t="s">
        <v>33</v>
      </c>
      <c r="D72" s="19" t="s">
        <v>286</v>
      </c>
      <c r="E72" s="19"/>
      <c r="F72" s="19" t="s">
        <v>328</v>
      </c>
      <c r="G72" s="19" t="s">
        <v>329</v>
      </c>
      <c r="H72" s="19" t="s">
        <v>330</v>
      </c>
      <c r="I72" s="19" t="s">
        <v>46</v>
      </c>
      <c r="J72" s="20">
        <v>3</v>
      </c>
      <c r="K72" s="20">
        <v>548</v>
      </c>
      <c r="L72" s="33">
        <f>WorkmanshipResultsTable[[#This Row],[Number of Failed Units]]/WorkmanshipResultsTable[[#This Row],[Total Units Built]]</f>
        <v>5.4744525547445258E-3</v>
      </c>
      <c r="M72" s="25">
        <v>46065</v>
      </c>
      <c r="N72" s="19" t="s">
        <v>47</v>
      </c>
      <c r="O72" s="19" t="s">
        <v>48</v>
      </c>
      <c r="P72" s="20"/>
      <c r="Q72" s="19"/>
      <c r="R72" s="19"/>
      <c r="S72" s="19"/>
      <c r="T72" s="19"/>
      <c r="U72" s="21"/>
    </row>
    <row r="73" spans="1:21">
      <c r="A73" s="19" t="s">
        <v>21</v>
      </c>
      <c r="B73" s="19" t="s">
        <v>331</v>
      </c>
      <c r="C73" s="19" t="s">
        <v>33</v>
      </c>
      <c r="D73" s="19" t="s">
        <v>286</v>
      </c>
      <c r="E73" s="19"/>
      <c r="F73" s="19" t="s">
        <v>332</v>
      </c>
      <c r="G73" s="19" t="s">
        <v>333</v>
      </c>
      <c r="H73" s="19" t="s">
        <v>334</v>
      </c>
      <c r="I73" s="19" t="s">
        <v>46</v>
      </c>
      <c r="J73" s="20">
        <v>3</v>
      </c>
      <c r="K73" s="20">
        <v>548</v>
      </c>
      <c r="L73" s="33">
        <f>WorkmanshipResultsTable[[#This Row],[Number of Failed Units]]/WorkmanshipResultsTable[[#This Row],[Total Units Built]]</f>
        <v>5.4744525547445258E-3</v>
      </c>
      <c r="M73" s="25">
        <v>46065</v>
      </c>
      <c r="N73" s="19" t="s">
        <v>47</v>
      </c>
      <c r="O73" s="19" t="s">
        <v>48</v>
      </c>
      <c r="P73" s="20"/>
      <c r="Q73" s="19"/>
      <c r="R73" s="19"/>
      <c r="S73" s="19"/>
      <c r="T73" s="19"/>
      <c r="U73" s="21"/>
    </row>
    <row r="74" spans="1:21" ht="60.75">
      <c r="A74" s="19" t="s">
        <v>21</v>
      </c>
      <c r="B74" s="19" t="s">
        <v>41</v>
      </c>
      <c r="C74" s="19" t="s">
        <v>33</v>
      </c>
      <c r="D74" s="19" t="s">
        <v>335</v>
      </c>
      <c r="E74" s="19"/>
      <c r="F74" s="19" t="s">
        <v>336</v>
      </c>
      <c r="G74" s="19" t="s">
        <v>71</v>
      </c>
      <c r="H74" s="19" t="s">
        <v>337</v>
      </c>
      <c r="I74" s="19" t="s">
        <v>46</v>
      </c>
      <c r="J74" s="20">
        <v>1</v>
      </c>
      <c r="K74" s="20">
        <v>175</v>
      </c>
      <c r="L74" s="33">
        <f>WorkmanshipResultsTable[[#This Row],[Number of Failed Units]]/WorkmanshipResultsTable[[#This Row],[Total Units Built]]</f>
        <v>5.7142857142857143E-3</v>
      </c>
      <c r="M74" s="25">
        <v>45478</v>
      </c>
      <c r="N74" s="19" t="s">
        <v>47</v>
      </c>
      <c r="O74" s="19" t="s">
        <v>48</v>
      </c>
      <c r="P74" s="20"/>
      <c r="Q74" s="19"/>
      <c r="R74" s="19"/>
      <c r="S74" s="19"/>
      <c r="T74" s="19"/>
      <c r="U74" s="21"/>
    </row>
    <row r="75" spans="1:21" ht="30.75">
      <c r="A75" s="19" t="s">
        <v>21</v>
      </c>
      <c r="B75" s="19" t="s">
        <v>63</v>
      </c>
      <c r="C75" s="19" t="s">
        <v>33</v>
      </c>
      <c r="D75" s="19" t="s">
        <v>52</v>
      </c>
      <c r="E75" s="19"/>
      <c r="F75" s="19" t="s">
        <v>338</v>
      </c>
      <c r="G75" s="19" t="s">
        <v>339</v>
      </c>
      <c r="H75" s="19" t="s">
        <v>340</v>
      </c>
      <c r="I75" s="19" t="s">
        <v>46</v>
      </c>
      <c r="J75" s="20">
        <v>2</v>
      </c>
      <c r="K75" s="20">
        <v>344</v>
      </c>
      <c r="L75" s="33">
        <f>WorkmanshipResultsTable[[#This Row],[Number of Failed Units]]/WorkmanshipResultsTable[[#This Row],[Total Units Built]]</f>
        <v>5.8139534883720929E-3</v>
      </c>
      <c r="M75" s="25">
        <v>45918</v>
      </c>
      <c r="N75" s="19" t="s">
        <v>47</v>
      </c>
      <c r="O75" s="19" t="s">
        <v>48</v>
      </c>
      <c r="P75" s="20"/>
      <c r="Q75" s="19"/>
      <c r="R75" s="19"/>
      <c r="S75" s="19"/>
      <c r="T75" s="19"/>
      <c r="U75" s="21" t="s">
        <v>341</v>
      </c>
    </row>
    <row r="76" spans="1:21" ht="45.75">
      <c r="A76" s="19" t="s">
        <v>21</v>
      </c>
      <c r="B76" s="19" t="s">
        <v>32</v>
      </c>
      <c r="C76" s="19" t="s">
        <v>33</v>
      </c>
      <c r="D76" s="19" t="s">
        <v>342</v>
      </c>
      <c r="E76" s="19" t="s">
        <v>241</v>
      </c>
      <c r="F76" s="19" t="s">
        <v>343</v>
      </c>
      <c r="G76" s="19" t="s">
        <v>344</v>
      </c>
      <c r="H76" s="19" t="s">
        <v>89</v>
      </c>
      <c r="I76" s="19" t="s">
        <v>111</v>
      </c>
      <c r="J76" s="20">
        <v>1</v>
      </c>
      <c r="K76" s="20">
        <v>171</v>
      </c>
      <c r="L76" s="35">
        <f>WorkmanshipResultsTable[[#This Row],[Number of Failed Units]]/WorkmanshipResultsTable[[#This Row],[Total Units Built]]</f>
        <v>5.8479532163742687E-3</v>
      </c>
      <c r="M76" s="25">
        <v>45959</v>
      </c>
      <c r="N76" s="21" t="s">
        <v>29</v>
      </c>
      <c r="O76" s="19" t="s">
        <v>90</v>
      </c>
      <c r="P76" s="20" t="s">
        <v>345</v>
      </c>
      <c r="Q76" s="19"/>
      <c r="R76" s="19"/>
      <c r="S76" s="19"/>
      <c r="T76" s="19"/>
      <c r="U76" s="39" t="s">
        <v>79</v>
      </c>
    </row>
    <row r="77" spans="1:21" ht="30.75">
      <c r="A77" s="19" t="s">
        <v>113</v>
      </c>
      <c r="B77" s="19" t="s">
        <v>92</v>
      </c>
      <c r="C77" s="19" t="s">
        <v>33</v>
      </c>
      <c r="D77" s="19" t="s">
        <v>346</v>
      </c>
      <c r="E77" s="19"/>
      <c r="F77" s="19" t="s">
        <v>347</v>
      </c>
      <c r="G77" s="19" t="s">
        <v>348</v>
      </c>
      <c r="H77" s="19" t="s">
        <v>349</v>
      </c>
      <c r="I77" s="19" t="s">
        <v>77</v>
      </c>
      <c r="J77" s="20">
        <v>2</v>
      </c>
      <c r="K77" s="20">
        <v>331</v>
      </c>
      <c r="L77" s="33">
        <f>WorkmanshipResultsTable[[#This Row],[Number of Failed Units]]/WorkmanshipResultsTable[[#This Row],[Total Units Built]]</f>
        <v>6.0422960725075529E-3</v>
      </c>
      <c r="M77" s="20" t="s">
        <v>350</v>
      </c>
      <c r="N77" s="21" t="s">
        <v>47</v>
      </c>
      <c r="O77" s="19" t="s">
        <v>118</v>
      </c>
      <c r="P77" s="20"/>
      <c r="Q77" s="19"/>
      <c r="R77" s="19"/>
      <c r="S77" s="19"/>
      <c r="T77" s="19"/>
      <c r="U77" s="21" t="s">
        <v>119</v>
      </c>
    </row>
    <row r="78" spans="1:21" ht="60.75">
      <c r="A78" s="19" t="s">
        <v>21</v>
      </c>
      <c r="B78" s="19" t="s">
        <v>32</v>
      </c>
      <c r="C78" s="19" t="s">
        <v>23</v>
      </c>
      <c r="D78" s="19" t="s">
        <v>351</v>
      </c>
      <c r="E78" s="19" t="s">
        <v>352</v>
      </c>
      <c r="F78" s="19"/>
      <c r="G78" s="28" t="s">
        <v>353</v>
      </c>
      <c r="H78" s="28" t="s">
        <v>354</v>
      </c>
      <c r="I78" s="22" t="s">
        <v>140</v>
      </c>
      <c r="J78" s="20">
        <v>1</v>
      </c>
      <c r="K78" s="20">
        <v>159</v>
      </c>
      <c r="L78" s="35">
        <f>WorkmanshipResultsTable[[#This Row],[Number of Failed Units]]/WorkmanshipResultsTable[[#This Row],[Total Units Built]]</f>
        <v>6.2893081761006293E-3</v>
      </c>
      <c r="M78" s="20" t="s">
        <v>355</v>
      </c>
      <c r="N78" s="19" t="s">
        <v>47</v>
      </c>
      <c r="O78" s="19" t="s">
        <v>327</v>
      </c>
      <c r="P78" s="20"/>
      <c r="Q78" s="19"/>
      <c r="R78" s="19"/>
      <c r="S78" s="19"/>
      <c r="T78" s="19"/>
      <c r="U78" s="39" t="s">
        <v>119</v>
      </c>
    </row>
    <row r="79" spans="1:21" ht="60.75">
      <c r="A79" s="19" t="s">
        <v>21</v>
      </c>
      <c r="B79" s="19" t="s">
        <v>63</v>
      </c>
      <c r="C79" s="19" t="s">
        <v>23</v>
      </c>
      <c r="D79" s="19" t="s">
        <v>351</v>
      </c>
      <c r="E79" s="19" t="s">
        <v>352</v>
      </c>
      <c r="F79" s="19"/>
      <c r="G79" s="28" t="s">
        <v>356</v>
      </c>
      <c r="H79" s="28" t="s">
        <v>357</v>
      </c>
      <c r="I79" s="22" t="s">
        <v>140</v>
      </c>
      <c r="J79" s="20">
        <v>1</v>
      </c>
      <c r="K79" s="20">
        <v>159</v>
      </c>
      <c r="L79" s="35">
        <f>WorkmanshipResultsTable[[#This Row],[Number of Failed Units]]/WorkmanshipResultsTable[[#This Row],[Total Units Built]]</f>
        <v>6.2893081761006293E-3</v>
      </c>
      <c r="M79" s="20" t="s">
        <v>355</v>
      </c>
      <c r="N79" s="19" t="s">
        <v>47</v>
      </c>
      <c r="O79" s="19" t="s">
        <v>327</v>
      </c>
      <c r="P79" s="20"/>
      <c r="Q79" s="19"/>
      <c r="R79" s="19"/>
      <c r="S79" s="19"/>
      <c r="T79" s="19"/>
      <c r="U79" s="39" t="s">
        <v>119</v>
      </c>
    </row>
    <row r="80" spans="1:21" ht="60.75">
      <c r="A80" s="19" t="s">
        <v>21</v>
      </c>
      <c r="B80" s="19" t="s">
        <v>32</v>
      </c>
      <c r="C80" s="19" t="s">
        <v>33</v>
      </c>
      <c r="D80" s="19" t="s">
        <v>358</v>
      </c>
      <c r="E80" s="19"/>
      <c r="F80" s="19" t="s">
        <v>359</v>
      </c>
      <c r="G80" s="19" t="s">
        <v>360</v>
      </c>
      <c r="H80" s="19" t="s">
        <v>361</v>
      </c>
      <c r="I80" s="19" t="s">
        <v>111</v>
      </c>
      <c r="J80" s="20">
        <v>1</v>
      </c>
      <c r="K80" s="20">
        <v>157</v>
      </c>
      <c r="L80" s="33">
        <f>WorkmanshipResultsTable[[#This Row],[Number of Failed Units]]/WorkmanshipResultsTable[[#This Row],[Total Units Built]]</f>
        <v>6.369426751592357E-3</v>
      </c>
      <c r="M80" s="25">
        <v>45323</v>
      </c>
      <c r="N80" s="21" t="s">
        <v>29</v>
      </c>
      <c r="O80" s="19" t="s">
        <v>39</v>
      </c>
      <c r="P80" s="20" t="s">
        <v>362</v>
      </c>
      <c r="Q80" s="19"/>
      <c r="R80" s="19"/>
      <c r="S80" s="19"/>
      <c r="T80" s="19"/>
      <c r="U80" s="21"/>
    </row>
    <row r="81" spans="1:21" ht="76.5">
      <c r="A81" s="19" t="s">
        <v>21</v>
      </c>
      <c r="B81" s="19" t="s">
        <v>32</v>
      </c>
      <c r="C81" s="19" t="s">
        <v>33</v>
      </c>
      <c r="D81" s="19" t="s">
        <v>363</v>
      </c>
      <c r="E81" s="19"/>
      <c r="F81" s="19" t="s">
        <v>364</v>
      </c>
      <c r="G81" s="19" t="s">
        <v>365</v>
      </c>
      <c r="H81" s="19" t="s">
        <v>366</v>
      </c>
      <c r="I81" s="19" t="s">
        <v>111</v>
      </c>
      <c r="J81" s="20">
        <v>1</v>
      </c>
      <c r="K81" s="20">
        <v>154</v>
      </c>
      <c r="L81" s="33">
        <f>WorkmanshipResultsTable[[#This Row],[Number of Failed Units]]/WorkmanshipResultsTable[[#This Row],[Total Units Built]]</f>
        <v>6.4935064935064939E-3</v>
      </c>
      <c r="M81" s="25">
        <v>45324</v>
      </c>
      <c r="N81" s="21" t="s">
        <v>29</v>
      </c>
      <c r="O81" s="19" t="s">
        <v>39</v>
      </c>
      <c r="P81" s="20" t="s">
        <v>367</v>
      </c>
      <c r="Q81" s="19"/>
      <c r="R81" s="19"/>
      <c r="S81" s="19"/>
      <c r="T81" s="19"/>
      <c r="U81" s="21"/>
    </row>
    <row r="82" spans="1:21" ht="76.5">
      <c r="A82" s="19" t="s">
        <v>191</v>
      </c>
      <c r="B82" s="19" t="s">
        <v>41</v>
      </c>
      <c r="C82" s="19" t="s">
        <v>33</v>
      </c>
      <c r="D82" s="19" t="s">
        <v>368</v>
      </c>
      <c r="E82" s="19"/>
      <c r="F82" s="19" t="s">
        <v>369</v>
      </c>
      <c r="G82" s="19" t="s">
        <v>370</v>
      </c>
      <c r="H82" s="19" t="s">
        <v>371</v>
      </c>
      <c r="I82" s="22" t="s">
        <v>176</v>
      </c>
      <c r="J82" s="23">
        <v>3</v>
      </c>
      <c r="K82" s="23">
        <v>460</v>
      </c>
      <c r="L82" s="33">
        <f>IF(OR(J82="",K82="",K82=0),"",J82/K82)</f>
        <v>6.5217391304347823E-3</v>
      </c>
      <c r="M82" s="24">
        <v>45649</v>
      </c>
      <c r="N82" s="19" t="s">
        <v>372</v>
      </c>
      <c r="O82" s="19" t="s">
        <v>373</v>
      </c>
      <c r="P82" s="20" t="s">
        <v>374</v>
      </c>
      <c r="Q82" s="19" t="s">
        <v>375</v>
      </c>
      <c r="R82" s="19" t="s">
        <v>376</v>
      </c>
      <c r="S82" s="19" t="s">
        <v>189</v>
      </c>
      <c r="T82" s="19" t="s">
        <v>377</v>
      </c>
      <c r="U82" s="39" t="s">
        <v>378</v>
      </c>
    </row>
    <row r="83" spans="1:21" ht="45.75">
      <c r="A83" s="19" t="s">
        <v>157</v>
      </c>
      <c r="B83" s="19" t="s">
        <v>163</v>
      </c>
      <c r="C83" s="19" t="s">
        <v>23</v>
      </c>
      <c r="D83" s="32" t="s">
        <v>158</v>
      </c>
      <c r="E83" s="19" t="s">
        <v>159</v>
      </c>
      <c r="F83" s="19" t="s">
        <v>379</v>
      </c>
      <c r="G83" s="19" t="s">
        <v>380</v>
      </c>
      <c r="H83" s="19"/>
      <c r="I83" s="22" t="s">
        <v>38</v>
      </c>
      <c r="J83" s="20">
        <v>1</v>
      </c>
      <c r="K83" s="20">
        <v>153</v>
      </c>
      <c r="L83" s="35">
        <f>WorkmanshipResultsTable[[#This Row],[Number of Failed Units]]/WorkmanshipResultsTable[[#This Row],[Total Units Built]]</f>
        <v>6.5359477124183009E-3</v>
      </c>
      <c r="M83" s="25">
        <v>45410</v>
      </c>
      <c r="N83" s="19" t="s">
        <v>47</v>
      </c>
      <c r="O83" s="19" t="s">
        <v>162</v>
      </c>
      <c r="P83" s="20"/>
      <c r="Q83" s="19"/>
      <c r="R83" s="19"/>
      <c r="S83" s="19"/>
      <c r="T83" s="19"/>
      <c r="U83" s="21"/>
    </row>
    <row r="84" spans="1:21" ht="45.75">
      <c r="A84" s="19" t="s">
        <v>21</v>
      </c>
      <c r="B84" s="19" t="s">
        <v>41</v>
      </c>
      <c r="C84" s="19" t="s">
        <v>33</v>
      </c>
      <c r="D84" s="19" t="s">
        <v>64</v>
      </c>
      <c r="E84" s="19"/>
      <c r="F84" s="19" t="s">
        <v>381</v>
      </c>
      <c r="G84" s="19" t="s">
        <v>382</v>
      </c>
      <c r="H84" s="19" t="s">
        <v>383</v>
      </c>
      <c r="I84" s="19" t="s">
        <v>46</v>
      </c>
      <c r="J84" s="20">
        <v>4</v>
      </c>
      <c r="K84" s="20">
        <v>596</v>
      </c>
      <c r="L84" s="33">
        <f>WorkmanshipResultsTable[[#This Row],[Number of Failed Units]]/WorkmanshipResultsTable[[#This Row],[Total Units Built]]</f>
        <v>6.7114093959731542E-3</v>
      </c>
      <c r="M84" s="25">
        <v>45702</v>
      </c>
      <c r="N84" s="19" t="s">
        <v>47</v>
      </c>
      <c r="O84" s="19" t="s">
        <v>48</v>
      </c>
      <c r="P84" s="20"/>
      <c r="Q84" s="19"/>
      <c r="R84" s="19"/>
      <c r="S84" s="19"/>
      <c r="T84" s="19"/>
      <c r="U84" s="21"/>
    </row>
    <row r="85" spans="1:21" ht="30.75">
      <c r="A85" s="19" t="s">
        <v>21</v>
      </c>
      <c r="B85" s="19" t="s">
        <v>63</v>
      </c>
      <c r="C85" s="19" t="s">
        <v>33</v>
      </c>
      <c r="D85" s="19" t="s">
        <v>52</v>
      </c>
      <c r="E85" s="19"/>
      <c r="F85" s="19" t="s">
        <v>384</v>
      </c>
      <c r="G85" s="19" t="s">
        <v>385</v>
      </c>
      <c r="H85" s="19" t="s">
        <v>386</v>
      </c>
      <c r="I85" s="19" t="s">
        <v>46</v>
      </c>
      <c r="J85" s="20">
        <v>5</v>
      </c>
      <c r="K85" s="20">
        <v>715</v>
      </c>
      <c r="L85" s="33">
        <f>WorkmanshipResultsTable[[#This Row],[Number of Failed Units]]/WorkmanshipResultsTable[[#This Row],[Total Units Built]]</f>
        <v>6.993006993006993E-3</v>
      </c>
      <c r="M85" s="25">
        <v>45842</v>
      </c>
      <c r="N85" s="19" t="s">
        <v>47</v>
      </c>
      <c r="O85" s="19" t="s">
        <v>48</v>
      </c>
      <c r="P85" s="20"/>
      <c r="Q85" s="19"/>
      <c r="R85" s="19"/>
      <c r="S85" s="19"/>
      <c r="T85" s="19"/>
      <c r="U85" s="21"/>
    </row>
    <row r="86" spans="1:21" ht="45.75">
      <c r="A86" s="19" t="s">
        <v>21</v>
      </c>
      <c r="B86" s="19" t="s">
        <v>92</v>
      </c>
      <c r="C86" s="19" t="s">
        <v>33</v>
      </c>
      <c r="D86" s="19" t="s">
        <v>52</v>
      </c>
      <c r="E86" s="19"/>
      <c r="F86" s="19" t="s">
        <v>387</v>
      </c>
      <c r="G86" s="19" t="s">
        <v>388</v>
      </c>
      <c r="H86" s="19" t="s">
        <v>389</v>
      </c>
      <c r="I86" s="19" t="s">
        <v>46</v>
      </c>
      <c r="J86" s="20">
        <v>4</v>
      </c>
      <c r="K86" s="20">
        <v>570</v>
      </c>
      <c r="L86" s="33">
        <f>WorkmanshipResultsTable[[#This Row],[Number of Failed Units]]/WorkmanshipResultsTable[[#This Row],[Total Units Built]]</f>
        <v>7.0175438596491229E-3</v>
      </c>
      <c r="M86" s="25">
        <v>45349</v>
      </c>
      <c r="N86" s="19" t="s">
        <v>47</v>
      </c>
      <c r="O86" s="19" t="s">
        <v>48</v>
      </c>
      <c r="P86" s="20"/>
      <c r="Q86" s="19"/>
      <c r="R86" s="19"/>
      <c r="S86" s="19"/>
      <c r="T86" s="19"/>
      <c r="U86" s="21"/>
    </row>
    <row r="87" spans="1:21" ht="29.25">
      <c r="A87" s="19" t="s">
        <v>21</v>
      </c>
      <c r="B87" s="19" t="s">
        <v>212</v>
      </c>
      <c r="C87" s="19" t="s">
        <v>23</v>
      </c>
      <c r="D87" s="19" t="s">
        <v>390</v>
      </c>
      <c r="E87" s="19" t="s">
        <v>271</v>
      </c>
      <c r="F87" s="19" t="s">
        <v>391</v>
      </c>
      <c r="G87" s="36" t="s">
        <v>392</v>
      </c>
      <c r="H87" s="19"/>
      <c r="I87" s="19" t="s">
        <v>28</v>
      </c>
      <c r="J87" s="20">
        <v>1</v>
      </c>
      <c r="K87" s="20">
        <v>142</v>
      </c>
      <c r="L87" s="33">
        <f>WorkmanshipResultsTable[[#This Row],[Number of Failed Units]]/WorkmanshipResultsTable[[#This Row],[Total Units Built]]</f>
        <v>7.0422535211267607E-3</v>
      </c>
      <c r="M87" s="25">
        <v>45587</v>
      </c>
      <c r="N87" s="19" t="s">
        <v>29</v>
      </c>
      <c r="O87" s="19" t="s">
        <v>30</v>
      </c>
      <c r="P87" s="20" t="s">
        <v>393</v>
      </c>
      <c r="Q87" s="19"/>
      <c r="R87" s="19"/>
      <c r="S87" s="19"/>
      <c r="T87" s="19"/>
      <c r="U87" s="21"/>
    </row>
    <row r="88" spans="1:21" ht="45.75">
      <c r="A88" s="19" t="s">
        <v>113</v>
      </c>
      <c r="B88" s="19" t="s">
        <v>56</v>
      </c>
      <c r="C88" s="19" t="s">
        <v>23</v>
      </c>
      <c r="D88" s="19" t="s">
        <v>394</v>
      </c>
      <c r="E88" s="19" t="s">
        <v>395</v>
      </c>
      <c r="F88" s="19" t="s">
        <v>396</v>
      </c>
      <c r="G88" s="19" t="s">
        <v>397</v>
      </c>
      <c r="H88" s="19" t="s">
        <v>398</v>
      </c>
      <c r="I88" s="19" t="s">
        <v>130</v>
      </c>
      <c r="J88" s="20">
        <v>1</v>
      </c>
      <c r="K88" s="20">
        <v>138</v>
      </c>
      <c r="L88" s="35">
        <f>WorkmanshipResultsTable[[#This Row],[Number of Failed Units]]/WorkmanshipResultsTable[[#This Row],[Total Units Built]]</f>
        <v>7.246376811594203E-3</v>
      </c>
      <c r="M88" s="26">
        <v>46048</v>
      </c>
      <c r="N88" s="19" t="s">
        <v>47</v>
      </c>
      <c r="O88" s="19" t="s">
        <v>131</v>
      </c>
      <c r="P88" s="20"/>
      <c r="Q88" s="19"/>
      <c r="R88" s="19"/>
      <c r="S88" s="19"/>
      <c r="T88" s="19"/>
      <c r="U88" s="39" t="s">
        <v>79</v>
      </c>
    </row>
    <row r="89" spans="1:21" ht="60.75">
      <c r="A89" s="19" t="s">
        <v>113</v>
      </c>
      <c r="B89" s="19" t="s">
        <v>92</v>
      </c>
      <c r="C89" s="19" t="s">
        <v>33</v>
      </c>
      <c r="D89" s="19" t="s">
        <v>346</v>
      </c>
      <c r="E89" s="19"/>
      <c r="F89" s="19" t="s">
        <v>399</v>
      </c>
      <c r="G89" s="19" t="s">
        <v>400</v>
      </c>
      <c r="H89" s="19" t="s">
        <v>401</v>
      </c>
      <c r="I89" s="19" t="s">
        <v>77</v>
      </c>
      <c r="J89" s="20">
        <v>1</v>
      </c>
      <c r="K89" s="20">
        <v>137</v>
      </c>
      <c r="L89" s="33">
        <f>WorkmanshipResultsTable[[#This Row],[Number of Failed Units]]/WorkmanshipResultsTable[[#This Row],[Total Units Built]]</f>
        <v>7.2992700729927005E-3</v>
      </c>
      <c r="M89" s="20" t="s">
        <v>402</v>
      </c>
      <c r="N89" s="21" t="s">
        <v>47</v>
      </c>
      <c r="O89" s="19" t="s">
        <v>118</v>
      </c>
      <c r="P89" s="20"/>
      <c r="Q89" s="19"/>
      <c r="R89" s="19"/>
      <c r="S89" s="19"/>
      <c r="T89" s="19"/>
      <c r="U89" s="21" t="s">
        <v>119</v>
      </c>
    </row>
    <row r="90" spans="1:21" ht="30.75">
      <c r="A90" s="19" t="s">
        <v>113</v>
      </c>
      <c r="B90" s="19" t="s">
        <v>92</v>
      </c>
      <c r="C90" s="19" t="s">
        <v>33</v>
      </c>
      <c r="D90" s="19" t="s">
        <v>403</v>
      </c>
      <c r="E90" s="19"/>
      <c r="F90" s="19" t="s">
        <v>404</v>
      </c>
      <c r="G90" s="19" t="s">
        <v>405</v>
      </c>
      <c r="H90" s="19" t="s">
        <v>349</v>
      </c>
      <c r="I90" s="19" t="s">
        <v>77</v>
      </c>
      <c r="J90" s="20">
        <v>2</v>
      </c>
      <c r="K90" s="20">
        <v>267</v>
      </c>
      <c r="L90" s="33">
        <f>WorkmanshipResultsTable[[#This Row],[Number of Failed Units]]/WorkmanshipResultsTable[[#This Row],[Total Units Built]]</f>
        <v>7.4906367041198503E-3</v>
      </c>
      <c r="M90" s="20" t="s">
        <v>406</v>
      </c>
      <c r="N90" s="21" t="s">
        <v>47</v>
      </c>
      <c r="O90" s="19" t="s">
        <v>118</v>
      </c>
      <c r="P90" s="20"/>
      <c r="Q90" s="19"/>
      <c r="R90" s="19"/>
      <c r="S90" s="19"/>
      <c r="T90" s="19"/>
      <c r="U90" s="21" t="s">
        <v>119</v>
      </c>
    </row>
    <row r="91" spans="1:21" ht="30.75">
      <c r="A91" s="19" t="s">
        <v>113</v>
      </c>
      <c r="B91" s="19" t="s">
        <v>92</v>
      </c>
      <c r="C91" s="19" t="s">
        <v>33</v>
      </c>
      <c r="D91" s="19" t="s">
        <v>407</v>
      </c>
      <c r="E91" s="19"/>
      <c r="F91" s="19" t="s">
        <v>408</v>
      </c>
      <c r="G91" s="19" t="s">
        <v>348</v>
      </c>
      <c r="H91" s="19" t="s">
        <v>349</v>
      </c>
      <c r="I91" s="19" t="s">
        <v>77</v>
      </c>
      <c r="J91" s="20">
        <v>2</v>
      </c>
      <c r="K91" s="20">
        <v>263</v>
      </c>
      <c r="L91" s="33">
        <f>WorkmanshipResultsTable[[#This Row],[Number of Failed Units]]/WorkmanshipResultsTable[[#This Row],[Total Units Built]]</f>
        <v>7.6045627376425855E-3</v>
      </c>
      <c r="M91" s="20" t="s">
        <v>409</v>
      </c>
      <c r="N91" s="21" t="s">
        <v>47</v>
      </c>
      <c r="O91" s="19" t="s">
        <v>118</v>
      </c>
      <c r="P91" s="20"/>
      <c r="Q91" s="19"/>
      <c r="R91" s="19"/>
      <c r="S91" s="19"/>
      <c r="T91" s="19"/>
      <c r="U91" s="21" t="s">
        <v>119</v>
      </c>
    </row>
    <row r="92" spans="1:21" ht="76.5">
      <c r="A92" s="19" t="s">
        <v>21</v>
      </c>
      <c r="B92" s="19" t="s">
        <v>41</v>
      </c>
      <c r="C92" s="19" t="s">
        <v>33</v>
      </c>
      <c r="D92" s="19" t="s">
        <v>410</v>
      </c>
      <c r="E92" s="19"/>
      <c r="F92" s="19" t="s">
        <v>411</v>
      </c>
      <c r="G92" s="19" t="s">
        <v>412</v>
      </c>
      <c r="H92" s="19" t="s">
        <v>413</v>
      </c>
      <c r="I92" s="19" t="s">
        <v>46</v>
      </c>
      <c r="J92" s="20">
        <v>1</v>
      </c>
      <c r="K92" s="20">
        <v>131</v>
      </c>
      <c r="L92" s="33">
        <f>WorkmanshipResultsTable[[#This Row],[Number of Failed Units]]/WorkmanshipResultsTable[[#This Row],[Total Units Built]]</f>
        <v>7.6335877862595417E-3</v>
      </c>
      <c r="M92" s="25">
        <v>45562</v>
      </c>
      <c r="N92" s="19" t="s">
        <v>47</v>
      </c>
      <c r="O92" s="19" t="s">
        <v>48</v>
      </c>
      <c r="P92" s="20"/>
      <c r="Q92" s="19"/>
      <c r="R92" s="19"/>
      <c r="S92" s="19"/>
      <c r="T92" s="19"/>
      <c r="U92" s="21"/>
    </row>
    <row r="93" spans="1:21" ht="30.75">
      <c r="A93" s="19" t="s">
        <v>113</v>
      </c>
      <c r="B93" s="19" t="s">
        <v>331</v>
      </c>
      <c r="C93" s="19" t="s">
        <v>23</v>
      </c>
      <c r="D93" s="19" t="s">
        <v>125</v>
      </c>
      <c r="E93" s="19" t="s">
        <v>234</v>
      </c>
      <c r="F93" s="19" t="s">
        <v>414</v>
      </c>
      <c r="G93" s="19" t="s">
        <v>415</v>
      </c>
      <c r="H93" s="19" t="s">
        <v>416</v>
      </c>
      <c r="I93" s="19" t="s">
        <v>130</v>
      </c>
      <c r="J93" s="20">
        <v>2</v>
      </c>
      <c r="K93" s="20">
        <v>260</v>
      </c>
      <c r="L93" s="35">
        <f>WorkmanshipResultsTable[[#This Row],[Number of Failed Units]]/WorkmanshipResultsTable[[#This Row],[Total Units Built]]</f>
        <v>7.6923076923076927E-3</v>
      </c>
      <c r="M93" s="26">
        <v>46035</v>
      </c>
      <c r="N93" s="19" t="s">
        <v>47</v>
      </c>
      <c r="O93" s="19" t="s">
        <v>131</v>
      </c>
      <c r="P93" s="20"/>
      <c r="Q93" s="19"/>
      <c r="R93" s="19"/>
      <c r="S93" s="19"/>
      <c r="T93" s="19"/>
      <c r="U93" s="39" t="s">
        <v>79</v>
      </c>
    </row>
    <row r="94" spans="1:21" ht="91.5">
      <c r="A94" s="19" t="s">
        <v>21</v>
      </c>
      <c r="B94" s="19" t="s">
        <v>41</v>
      </c>
      <c r="C94" s="19" t="s">
        <v>33</v>
      </c>
      <c r="D94" s="19" t="s">
        <v>52</v>
      </c>
      <c r="E94" s="19"/>
      <c r="F94" s="19" t="s">
        <v>417</v>
      </c>
      <c r="G94" s="19" t="s">
        <v>418</v>
      </c>
      <c r="H94" s="19" t="s">
        <v>419</v>
      </c>
      <c r="I94" s="19" t="s">
        <v>46</v>
      </c>
      <c r="J94" s="20">
        <v>6</v>
      </c>
      <c r="K94" s="20">
        <v>779</v>
      </c>
      <c r="L94" s="33">
        <f>WorkmanshipResultsTable[[#This Row],[Number of Failed Units]]/WorkmanshipResultsTable[[#This Row],[Total Units Built]]</f>
        <v>7.7021822849807449E-3</v>
      </c>
      <c r="M94" s="25">
        <v>45898</v>
      </c>
      <c r="N94" s="19" t="s">
        <v>47</v>
      </c>
      <c r="O94" s="19" t="s">
        <v>48</v>
      </c>
      <c r="P94" s="20"/>
      <c r="Q94" s="19"/>
      <c r="R94" s="19"/>
      <c r="S94" s="19"/>
      <c r="T94" s="19"/>
      <c r="U94" s="21"/>
    </row>
    <row r="95" spans="1:21" ht="76.5">
      <c r="A95" s="19" t="s">
        <v>21</v>
      </c>
      <c r="B95" s="19" t="s">
        <v>41</v>
      </c>
      <c r="C95" s="19" t="s">
        <v>33</v>
      </c>
      <c r="D95" s="19" t="s">
        <v>52</v>
      </c>
      <c r="E95" s="19"/>
      <c r="F95" s="19" t="s">
        <v>417</v>
      </c>
      <c r="G95" s="19" t="s">
        <v>420</v>
      </c>
      <c r="H95" s="19" t="s">
        <v>421</v>
      </c>
      <c r="I95" s="19" t="s">
        <v>46</v>
      </c>
      <c r="J95" s="20">
        <v>6</v>
      </c>
      <c r="K95" s="20">
        <v>779</v>
      </c>
      <c r="L95" s="33">
        <f>WorkmanshipResultsTable[[#This Row],[Number of Failed Units]]/WorkmanshipResultsTable[[#This Row],[Total Units Built]]</f>
        <v>7.7021822849807449E-3</v>
      </c>
      <c r="M95" s="25">
        <v>45898</v>
      </c>
      <c r="N95" s="19" t="s">
        <v>47</v>
      </c>
      <c r="O95" s="19" t="s">
        <v>48</v>
      </c>
      <c r="P95" s="20"/>
      <c r="Q95" s="19"/>
      <c r="R95" s="19"/>
      <c r="S95" s="19"/>
      <c r="T95" s="19"/>
      <c r="U95" s="21"/>
    </row>
    <row r="96" spans="1:21" ht="76.5">
      <c r="A96" s="19" t="s">
        <v>21</v>
      </c>
      <c r="B96" s="19" t="s">
        <v>41</v>
      </c>
      <c r="C96" s="19" t="s">
        <v>33</v>
      </c>
      <c r="D96" s="19" t="s">
        <v>52</v>
      </c>
      <c r="E96" s="19"/>
      <c r="F96" s="19" t="s">
        <v>422</v>
      </c>
      <c r="G96" s="19" t="s">
        <v>423</v>
      </c>
      <c r="H96" s="19" t="s">
        <v>424</v>
      </c>
      <c r="I96" s="19" t="s">
        <v>46</v>
      </c>
      <c r="J96" s="20">
        <v>6</v>
      </c>
      <c r="K96" s="20">
        <v>779</v>
      </c>
      <c r="L96" s="33">
        <f>WorkmanshipResultsTable[[#This Row],[Number of Failed Units]]/WorkmanshipResultsTable[[#This Row],[Total Units Built]]</f>
        <v>7.7021822849807449E-3</v>
      </c>
      <c r="M96" s="25">
        <v>45898</v>
      </c>
      <c r="N96" s="19" t="s">
        <v>47</v>
      </c>
      <c r="O96" s="19" t="s">
        <v>48</v>
      </c>
      <c r="P96" s="20"/>
      <c r="Q96" s="19"/>
      <c r="R96" s="19"/>
      <c r="S96" s="19"/>
      <c r="T96" s="19"/>
      <c r="U96" s="21"/>
    </row>
    <row r="97" spans="1:21" ht="30.75">
      <c r="A97" s="19" t="s">
        <v>425</v>
      </c>
      <c r="B97" s="19" t="s">
        <v>41</v>
      </c>
      <c r="C97" s="19" t="s">
        <v>23</v>
      </c>
      <c r="D97" s="19" t="s">
        <v>125</v>
      </c>
      <c r="E97" s="19" t="s">
        <v>426</v>
      </c>
      <c r="F97" s="19"/>
      <c r="G97" s="19" t="s">
        <v>427</v>
      </c>
      <c r="H97" s="19" t="s">
        <v>428</v>
      </c>
      <c r="I97" s="19" t="s">
        <v>130</v>
      </c>
      <c r="J97" s="20">
        <v>2</v>
      </c>
      <c r="K97" s="20">
        <v>259</v>
      </c>
      <c r="L97" s="35">
        <f>WorkmanshipResultsTable[[#This Row],[Number of Failed Units]]/WorkmanshipResultsTable[[#This Row],[Total Units Built]]</f>
        <v>7.7220077220077222E-3</v>
      </c>
      <c r="M97" s="25">
        <v>46180</v>
      </c>
      <c r="N97" s="19" t="s">
        <v>47</v>
      </c>
      <c r="O97" s="19" t="s">
        <v>131</v>
      </c>
      <c r="P97" s="20"/>
      <c r="Q97" s="19"/>
      <c r="R97" s="19" t="s">
        <v>429</v>
      </c>
      <c r="S97" s="19"/>
      <c r="T97" s="19"/>
      <c r="U97" s="39" t="s">
        <v>119</v>
      </c>
    </row>
    <row r="98" spans="1:21" ht="45.75">
      <c r="A98" s="19" t="s">
        <v>430</v>
      </c>
      <c r="B98" s="19" t="s">
        <v>41</v>
      </c>
      <c r="C98" s="19" t="s">
        <v>23</v>
      </c>
      <c r="D98" s="19" t="s">
        <v>351</v>
      </c>
      <c r="E98" s="19" t="s">
        <v>352</v>
      </c>
      <c r="F98" s="19"/>
      <c r="G98" s="19" t="s">
        <v>431</v>
      </c>
      <c r="H98" s="19" t="s">
        <v>432</v>
      </c>
      <c r="I98" s="22" t="s">
        <v>140</v>
      </c>
      <c r="J98" s="20">
        <v>2</v>
      </c>
      <c r="K98" s="20">
        <v>255</v>
      </c>
      <c r="L98" s="35">
        <f>WorkmanshipResultsTable[[#This Row],[Number of Failed Units]]/WorkmanshipResultsTable[[#This Row],[Total Units Built]]</f>
        <v>7.8431372549019607E-3</v>
      </c>
      <c r="M98" s="20" t="s">
        <v>433</v>
      </c>
      <c r="N98" s="19" t="s">
        <v>47</v>
      </c>
      <c r="O98" s="19" t="s">
        <v>327</v>
      </c>
      <c r="P98" s="20"/>
      <c r="Q98" s="19"/>
      <c r="R98" s="19"/>
      <c r="S98" s="19"/>
      <c r="T98" s="19"/>
      <c r="U98" s="39" t="s">
        <v>119</v>
      </c>
    </row>
    <row r="99" spans="1:21" ht="45.75">
      <c r="A99" s="19" t="s">
        <v>21</v>
      </c>
      <c r="B99" s="19" t="s">
        <v>41</v>
      </c>
      <c r="C99" s="19" t="s">
        <v>33</v>
      </c>
      <c r="D99" s="19" t="s">
        <v>64</v>
      </c>
      <c r="E99" s="19"/>
      <c r="F99" s="19" t="s">
        <v>434</v>
      </c>
      <c r="G99" s="19" t="s">
        <v>435</v>
      </c>
      <c r="H99" s="19" t="s">
        <v>436</v>
      </c>
      <c r="I99" s="19" t="s">
        <v>46</v>
      </c>
      <c r="J99" s="20">
        <v>1</v>
      </c>
      <c r="K99" s="20">
        <v>126</v>
      </c>
      <c r="L99" s="33">
        <f>WorkmanshipResultsTable[[#This Row],[Number of Failed Units]]/WorkmanshipResultsTable[[#This Row],[Total Units Built]]</f>
        <v>7.9365079365079361E-3</v>
      </c>
      <c r="M99" s="25">
        <v>45889</v>
      </c>
      <c r="N99" s="19" t="s">
        <v>47</v>
      </c>
      <c r="O99" s="19" t="s">
        <v>48</v>
      </c>
      <c r="P99" s="20"/>
      <c r="Q99" s="19"/>
      <c r="R99" s="19"/>
      <c r="S99" s="19"/>
      <c r="T99" s="19"/>
      <c r="U99" s="21"/>
    </row>
    <row r="100" spans="1:21" ht="76.5">
      <c r="A100" s="19" t="s">
        <v>191</v>
      </c>
      <c r="B100" s="19" t="s">
        <v>73</v>
      </c>
      <c r="C100" s="19" t="s">
        <v>23</v>
      </c>
      <c r="D100" s="19" t="s">
        <v>307</v>
      </c>
      <c r="E100" s="19" t="s">
        <v>308</v>
      </c>
      <c r="F100" s="19"/>
      <c r="G100" s="19" t="s">
        <v>437</v>
      </c>
      <c r="H100" s="19" t="s">
        <v>317</v>
      </c>
      <c r="I100" s="22" t="s">
        <v>140</v>
      </c>
      <c r="J100" s="23">
        <v>3</v>
      </c>
      <c r="K100" s="23">
        <v>376</v>
      </c>
      <c r="L100" s="33">
        <f>IF(OR(J100="",K100="",K100=0),"",J100/K100)</f>
        <v>7.9787234042553185E-3</v>
      </c>
      <c r="M100" s="24" t="s">
        <v>311</v>
      </c>
      <c r="N100" s="19" t="s">
        <v>47</v>
      </c>
      <c r="O100" s="19" t="s">
        <v>438</v>
      </c>
      <c r="P100" s="20"/>
      <c r="Q100" s="19" t="s">
        <v>439</v>
      </c>
      <c r="R100" s="19" t="s">
        <v>440</v>
      </c>
      <c r="S100" s="19" t="s">
        <v>189</v>
      </c>
      <c r="T100" s="19" t="s">
        <v>315</v>
      </c>
      <c r="U100" s="21" t="s">
        <v>119</v>
      </c>
    </row>
    <row r="101" spans="1:21" ht="30.75">
      <c r="A101" s="19" t="s">
        <v>157</v>
      </c>
      <c r="B101" s="19" t="s">
        <v>41</v>
      </c>
      <c r="C101" s="19" t="s">
        <v>23</v>
      </c>
      <c r="D101" s="19" t="s">
        <v>158</v>
      </c>
      <c r="E101" s="19" t="s">
        <v>159</v>
      </c>
      <c r="F101" s="19" t="s">
        <v>441</v>
      </c>
      <c r="G101" s="19" t="s">
        <v>442</v>
      </c>
      <c r="H101" s="19" t="s">
        <v>443</v>
      </c>
      <c r="I101" s="22" t="s">
        <v>38</v>
      </c>
      <c r="J101" s="20">
        <v>1</v>
      </c>
      <c r="K101" s="20">
        <v>124</v>
      </c>
      <c r="L101" s="35">
        <f>WorkmanshipResultsTable[[#This Row],[Number of Failed Units]]/WorkmanshipResultsTable[[#This Row],[Total Units Built]]</f>
        <v>8.0645161290322578E-3</v>
      </c>
      <c r="M101" s="25">
        <v>45473</v>
      </c>
      <c r="N101" s="19" t="s">
        <v>47</v>
      </c>
      <c r="O101" s="19" t="s">
        <v>162</v>
      </c>
      <c r="P101" s="20"/>
      <c r="Q101" s="19"/>
      <c r="R101" s="19"/>
      <c r="S101" s="19"/>
      <c r="T101" s="19"/>
      <c r="U101" s="21"/>
    </row>
    <row r="102" spans="1:21" ht="45.75">
      <c r="A102" s="19" t="s">
        <v>444</v>
      </c>
      <c r="B102" s="19" t="s">
        <v>41</v>
      </c>
      <c r="C102" s="19" t="s">
        <v>23</v>
      </c>
      <c r="D102" s="19" t="s">
        <v>158</v>
      </c>
      <c r="E102" s="19" t="s">
        <v>159</v>
      </c>
      <c r="F102" s="19" t="s">
        <v>445</v>
      </c>
      <c r="G102" s="19" t="s">
        <v>446</v>
      </c>
      <c r="H102" s="19" t="s">
        <v>447</v>
      </c>
      <c r="I102" s="22" t="s">
        <v>38</v>
      </c>
      <c r="J102" s="20">
        <v>1</v>
      </c>
      <c r="K102" s="20">
        <v>124</v>
      </c>
      <c r="L102" s="35">
        <f>WorkmanshipResultsTable[[#This Row],[Number of Failed Units]]/WorkmanshipResultsTable[[#This Row],[Total Units Built]]</f>
        <v>8.0645161290322578E-3</v>
      </c>
      <c r="M102" s="25">
        <v>45480</v>
      </c>
      <c r="N102" s="19" t="s">
        <v>47</v>
      </c>
      <c r="O102" s="19" t="s">
        <v>162</v>
      </c>
      <c r="P102" s="20"/>
      <c r="Q102" s="19"/>
      <c r="R102" s="19"/>
      <c r="S102" s="19"/>
      <c r="T102" s="19"/>
      <c r="U102" s="21"/>
    </row>
    <row r="103" spans="1:21" ht="91.5">
      <c r="A103" s="19" t="s">
        <v>157</v>
      </c>
      <c r="B103" s="19" t="s">
        <v>41</v>
      </c>
      <c r="C103" s="19" t="s">
        <v>23</v>
      </c>
      <c r="D103" s="19" t="s">
        <v>448</v>
      </c>
      <c r="E103" s="19" t="s">
        <v>449</v>
      </c>
      <c r="F103" s="19" t="s">
        <v>450</v>
      </c>
      <c r="G103" s="19" t="s">
        <v>451</v>
      </c>
      <c r="H103" s="19" t="s">
        <v>452</v>
      </c>
      <c r="I103" s="22" t="s">
        <v>140</v>
      </c>
      <c r="J103" s="20">
        <v>2</v>
      </c>
      <c r="K103" s="20">
        <v>246</v>
      </c>
      <c r="L103" s="35">
        <f>WorkmanshipResultsTable[[#This Row],[Number of Failed Units]]/WorkmanshipResultsTable[[#This Row],[Total Units Built]]</f>
        <v>8.130081300813009E-3</v>
      </c>
      <c r="M103" s="20" t="s">
        <v>453</v>
      </c>
      <c r="N103" s="19" t="s">
        <v>47</v>
      </c>
      <c r="O103" s="19" t="s">
        <v>327</v>
      </c>
      <c r="P103" s="20"/>
      <c r="Q103" s="19"/>
      <c r="R103" s="19"/>
      <c r="S103" s="19"/>
      <c r="T103" s="19"/>
      <c r="U103" s="39" t="s">
        <v>119</v>
      </c>
    </row>
    <row r="104" spans="1:21" ht="30.75">
      <c r="A104" s="19" t="s">
        <v>21</v>
      </c>
      <c r="B104" s="19" t="s">
        <v>41</v>
      </c>
      <c r="C104" s="19" t="s">
        <v>33</v>
      </c>
      <c r="D104" s="19" t="s">
        <v>52</v>
      </c>
      <c r="E104" s="19"/>
      <c r="F104" s="40" t="s">
        <v>454</v>
      </c>
      <c r="G104" s="19" t="s">
        <v>455</v>
      </c>
      <c r="H104" s="19" t="s">
        <v>456</v>
      </c>
      <c r="I104" s="19" t="s">
        <v>46</v>
      </c>
      <c r="J104" s="20">
        <v>2</v>
      </c>
      <c r="K104" s="20">
        <v>245</v>
      </c>
      <c r="L104" s="33">
        <f>WorkmanshipResultsTable[[#This Row],[Number of Failed Units]]/WorkmanshipResultsTable[[#This Row],[Total Units Built]]</f>
        <v>8.1632653061224497E-3</v>
      </c>
      <c r="M104" s="25">
        <v>45810</v>
      </c>
      <c r="N104" s="19" t="s">
        <v>47</v>
      </c>
      <c r="O104" s="19" t="s">
        <v>48</v>
      </c>
      <c r="P104" s="20"/>
      <c r="Q104" s="19"/>
      <c r="R104" s="19"/>
      <c r="S104" s="19"/>
      <c r="T104" s="19"/>
      <c r="U104" s="21"/>
    </row>
    <row r="105" spans="1:21" ht="30.75">
      <c r="A105" s="19" t="s">
        <v>21</v>
      </c>
      <c r="B105" s="19" t="s">
        <v>63</v>
      </c>
      <c r="C105" s="19" t="s">
        <v>33</v>
      </c>
      <c r="D105" s="19" t="s">
        <v>52</v>
      </c>
      <c r="E105" s="19"/>
      <c r="F105" s="19" t="s">
        <v>457</v>
      </c>
      <c r="G105" s="19" t="s">
        <v>458</v>
      </c>
      <c r="H105" s="19" t="s">
        <v>264</v>
      </c>
      <c r="I105" s="19" t="s">
        <v>46</v>
      </c>
      <c r="J105" s="20">
        <v>4</v>
      </c>
      <c r="K105" s="20">
        <v>486</v>
      </c>
      <c r="L105" s="33">
        <f>WorkmanshipResultsTable[[#This Row],[Number of Failed Units]]/WorkmanshipResultsTable[[#This Row],[Total Units Built]]</f>
        <v>8.23045267489712E-3</v>
      </c>
      <c r="M105" s="25">
        <v>45374</v>
      </c>
      <c r="N105" s="19" t="s">
        <v>47</v>
      </c>
      <c r="O105" s="19" t="s">
        <v>48</v>
      </c>
      <c r="P105" s="20"/>
      <c r="Q105" s="19"/>
      <c r="R105" s="19"/>
      <c r="S105" s="19"/>
      <c r="T105" s="19"/>
      <c r="U105" s="21"/>
    </row>
    <row r="106" spans="1:21" ht="30.75">
      <c r="A106" s="19" t="s">
        <v>21</v>
      </c>
      <c r="B106" s="19" t="s">
        <v>63</v>
      </c>
      <c r="C106" s="19" t="s">
        <v>33</v>
      </c>
      <c r="D106" s="19" t="s">
        <v>64</v>
      </c>
      <c r="E106" s="19"/>
      <c r="F106" s="19" t="s">
        <v>459</v>
      </c>
      <c r="G106" s="19" t="s">
        <v>460</v>
      </c>
      <c r="H106" s="19" t="s">
        <v>264</v>
      </c>
      <c r="I106" s="19" t="s">
        <v>46</v>
      </c>
      <c r="J106" s="20">
        <v>4</v>
      </c>
      <c r="K106" s="20">
        <v>485</v>
      </c>
      <c r="L106" s="33">
        <f>WorkmanshipResultsTable[[#This Row],[Number of Failed Units]]/WorkmanshipResultsTable[[#This Row],[Total Units Built]]</f>
        <v>8.2474226804123713E-3</v>
      </c>
      <c r="M106" s="25">
        <v>45351</v>
      </c>
      <c r="N106" s="19" t="s">
        <v>47</v>
      </c>
      <c r="O106" s="19" t="s">
        <v>48</v>
      </c>
      <c r="P106" s="20"/>
      <c r="Q106" s="19"/>
      <c r="R106" s="19"/>
      <c r="S106" s="19"/>
      <c r="T106" s="19"/>
      <c r="U106" s="21"/>
    </row>
    <row r="107" spans="1:21" ht="30.75">
      <c r="A107" s="19" t="s">
        <v>157</v>
      </c>
      <c r="B107" s="19" t="s">
        <v>163</v>
      </c>
      <c r="C107" s="19" t="s">
        <v>23</v>
      </c>
      <c r="D107" s="19" t="s">
        <v>158</v>
      </c>
      <c r="E107" s="19" t="s">
        <v>159</v>
      </c>
      <c r="F107" s="19" t="s">
        <v>461</v>
      </c>
      <c r="G107" s="19" t="s">
        <v>462</v>
      </c>
      <c r="H107" s="19"/>
      <c r="I107" s="22" t="s">
        <v>38</v>
      </c>
      <c r="J107" s="20">
        <v>2</v>
      </c>
      <c r="K107" s="20">
        <v>241</v>
      </c>
      <c r="L107" s="35">
        <f>WorkmanshipResultsTable[[#This Row],[Number of Failed Units]]/WorkmanshipResultsTable[[#This Row],[Total Units Built]]</f>
        <v>8.2987551867219917E-3</v>
      </c>
      <c r="M107" s="25">
        <v>45396</v>
      </c>
      <c r="N107" s="19" t="s">
        <v>47</v>
      </c>
      <c r="O107" s="19" t="s">
        <v>162</v>
      </c>
      <c r="P107" s="20"/>
      <c r="Q107" s="19"/>
      <c r="R107" s="19"/>
      <c r="S107" s="19"/>
      <c r="T107" s="19"/>
      <c r="U107" s="21"/>
    </row>
    <row r="108" spans="1:21">
      <c r="A108" s="19" t="s">
        <v>113</v>
      </c>
      <c r="B108" s="19" t="s">
        <v>92</v>
      </c>
      <c r="C108" s="19" t="s">
        <v>23</v>
      </c>
      <c r="D108" s="19" t="s">
        <v>463</v>
      </c>
      <c r="E108" s="19"/>
      <c r="F108" s="19" t="s">
        <v>464</v>
      </c>
      <c r="G108" s="19" t="s">
        <v>465</v>
      </c>
      <c r="H108" s="19" t="s">
        <v>466</v>
      </c>
      <c r="I108" s="19" t="s">
        <v>130</v>
      </c>
      <c r="J108" s="20">
        <v>1</v>
      </c>
      <c r="K108" s="20">
        <v>120</v>
      </c>
      <c r="L108" s="35">
        <f>WorkmanshipResultsTable[[#This Row],[Number of Failed Units]]/WorkmanshipResultsTable[[#This Row],[Total Units Built]]</f>
        <v>8.3333333333333332E-3</v>
      </c>
      <c r="M108" s="26">
        <v>45782</v>
      </c>
      <c r="N108" s="19" t="s">
        <v>47</v>
      </c>
      <c r="O108" s="19" t="s">
        <v>131</v>
      </c>
      <c r="P108" s="20"/>
      <c r="Q108" s="19"/>
      <c r="R108" s="19"/>
      <c r="S108" s="19"/>
      <c r="T108" s="19"/>
      <c r="U108" s="39" t="s">
        <v>79</v>
      </c>
    </row>
    <row r="109" spans="1:21" ht="60.75">
      <c r="A109" s="19" t="s">
        <v>157</v>
      </c>
      <c r="B109" s="19" t="s">
        <v>202</v>
      </c>
      <c r="C109" s="19" t="s">
        <v>23</v>
      </c>
      <c r="D109" s="19" t="s">
        <v>158</v>
      </c>
      <c r="E109" s="19" t="s">
        <v>159</v>
      </c>
      <c r="F109" s="19" t="s">
        <v>467</v>
      </c>
      <c r="G109" s="19" t="s">
        <v>468</v>
      </c>
      <c r="H109" s="19"/>
      <c r="I109" s="22" t="s">
        <v>38</v>
      </c>
      <c r="J109" s="20">
        <v>2</v>
      </c>
      <c r="K109" s="20">
        <v>239</v>
      </c>
      <c r="L109" s="35">
        <f>WorkmanshipResultsTable[[#This Row],[Number of Failed Units]]/WorkmanshipResultsTable[[#This Row],[Total Units Built]]</f>
        <v>8.368200836820083E-3</v>
      </c>
      <c r="M109" s="25">
        <v>45375</v>
      </c>
      <c r="N109" s="19" t="s">
        <v>47</v>
      </c>
      <c r="O109" s="19" t="s">
        <v>162</v>
      </c>
      <c r="P109" s="20"/>
      <c r="Q109" s="19"/>
      <c r="R109" s="19"/>
      <c r="S109" s="19"/>
      <c r="T109" s="19"/>
      <c r="U109" s="21"/>
    </row>
    <row r="110" spans="1:21" ht="30.75">
      <c r="A110" s="19" t="s">
        <v>113</v>
      </c>
      <c r="B110" s="19" t="s">
        <v>41</v>
      </c>
      <c r="C110" s="19" t="s">
        <v>23</v>
      </c>
      <c r="D110" s="19" t="s">
        <v>469</v>
      </c>
      <c r="E110" s="19" t="s">
        <v>470</v>
      </c>
      <c r="F110" s="19" t="s">
        <v>471</v>
      </c>
      <c r="G110" s="19" t="s">
        <v>472</v>
      </c>
      <c r="H110" s="19" t="s">
        <v>473</v>
      </c>
      <c r="I110" s="19" t="s">
        <v>130</v>
      </c>
      <c r="J110" s="20">
        <v>1</v>
      </c>
      <c r="K110" s="20">
        <v>119</v>
      </c>
      <c r="L110" s="35">
        <f>WorkmanshipResultsTable[[#This Row],[Number of Failed Units]]/WorkmanshipResultsTable[[#This Row],[Total Units Built]]</f>
        <v>8.4033613445378148E-3</v>
      </c>
      <c r="M110" s="26">
        <v>45981</v>
      </c>
      <c r="N110" s="19" t="s">
        <v>47</v>
      </c>
      <c r="O110" s="19" t="s">
        <v>131</v>
      </c>
      <c r="P110" s="20"/>
      <c r="Q110" s="19"/>
      <c r="R110" s="19"/>
      <c r="S110" s="19"/>
      <c r="T110" s="19"/>
      <c r="U110" s="39" t="s">
        <v>79</v>
      </c>
    </row>
    <row r="111" spans="1:21" ht="45.75">
      <c r="A111" s="19" t="s">
        <v>113</v>
      </c>
      <c r="B111" s="19" t="s">
        <v>92</v>
      </c>
      <c r="C111" s="19" t="s">
        <v>33</v>
      </c>
      <c r="D111" s="19" t="s">
        <v>346</v>
      </c>
      <c r="E111" s="19"/>
      <c r="F111" s="19" t="s">
        <v>474</v>
      </c>
      <c r="G111" s="19" t="s">
        <v>348</v>
      </c>
      <c r="H111" s="19" t="s">
        <v>349</v>
      </c>
      <c r="I111" s="19" t="s">
        <v>77</v>
      </c>
      <c r="J111" s="20">
        <v>3</v>
      </c>
      <c r="K111" s="20">
        <v>350</v>
      </c>
      <c r="L111" s="33">
        <f>WorkmanshipResultsTable[[#This Row],[Number of Failed Units]]/WorkmanshipResultsTable[[#This Row],[Total Units Built]]</f>
        <v>8.5714285714285719E-3</v>
      </c>
      <c r="M111" s="20" t="s">
        <v>475</v>
      </c>
      <c r="N111" s="21" t="s">
        <v>47</v>
      </c>
      <c r="O111" s="19" t="s">
        <v>118</v>
      </c>
      <c r="P111" s="20"/>
      <c r="Q111" s="19"/>
      <c r="R111" s="19"/>
      <c r="S111" s="19"/>
      <c r="T111" s="19"/>
      <c r="U111" s="21" t="s">
        <v>119</v>
      </c>
    </row>
    <row r="112" spans="1:21" ht="60.75">
      <c r="A112" s="19" t="s">
        <v>21</v>
      </c>
      <c r="B112" s="19" t="s">
        <v>41</v>
      </c>
      <c r="C112" s="19" t="s">
        <v>33</v>
      </c>
      <c r="D112" s="19" t="s">
        <v>476</v>
      </c>
      <c r="E112" s="19"/>
      <c r="F112" s="19" t="s">
        <v>477</v>
      </c>
      <c r="G112" s="19" t="s">
        <v>478</v>
      </c>
      <c r="H112" s="19" t="s">
        <v>479</v>
      </c>
      <c r="I112" s="19" t="s">
        <v>46</v>
      </c>
      <c r="J112" s="20">
        <v>7</v>
      </c>
      <c r="K112" s="20">
        <v>812</v>
      </c>
      <c r="L112" s="33">
        <f>WorkmanshipResultsTable[[#This Row],[Number of Failed Units]]/WorkmanshipResultsTable[[#This Row],[Total Units Built]]</f>
        <v>8.6206896551724137E-3</v>
      </c>
      <c r="M112" s="25">
        <v>45503</v>
      </c>
      <c r="N112" s="19" t="s">
        <v>47</v>
      </c>
      <c r="O112" s="19" t="s">
        <v>48</v>
      </c>
      <c r="P112" s="20"/>
      <c r="Q112" s="19"/>
      <c r="R112" s="19"/>
      <c r="S112" s="19"/>
      <c r="T112" s="19"/>
      <c r="U112" s="21"/>
    </row>
    <row r="113" spans="1:21" ht="91.5">
      <c r="A113" s="19" t="s">
        <v>21</v>
      </c>
      <c r="B113" s="19" t="s">
        <v>41</v>
      </c>
      <c r="C113" s="19" t="s">
        <v>33</v>
      </c>
      <c r="D113" s="19" t="s">
        <v>52</v>
      </c>
      <c r="E113" s="19"/>
      <c r="F113" s="19" t="s">
        <v>480</v>
      </c>
      <c r="G113" s="19" t="s">
        <v>481</v>
      </c>
      <c r="H113" s="19" t="s">
        <v>482</v>
      </c>
      <c r="I113" s="19" t="s">
        <v>46</v>
      </c>
      <c r="J113" s="20">
        <v>9</v>
      </c>
      <c r="K113" s="20">
        <v>1042</v>
      </c>
      <c r="L113" s="33">
        <f>WorkmanshipResultsTable[[#This Row],[Number of Failed Units]]/WorkmanshipResultsTable[[#This Row],[Total Units Built]]</f>
        <v>8.6372360844529754E-3</v>
      </c>
      <c r="M113" s="25">
        <v>46122</v>
      </c>
      <c r="N113" s="19" t="s">
        <v>47</v>
      </c>
      <c r="O113" s="19" t="s">
        <v>48</v>
      </c>
      <c r="P113" s="20"/>
      <c r="Q113" s="19"/>
      <c r="R113" s="19"/>
      <c r="S113" s="19"/>
      <c r="T113" s="19"/>
      <c r="U113" s="21" t="s">
        <v>233</v>
      </c>
    </row>
    <row r="114" spans="1:21" ht="30.75">
      <c r="A114" s="19" t="s">
        <v>444</v>
      </c>
      <c r="B114" s="19" t="s">
        <v>41</v>
      </c>
      <c r="C114" s="19" t="s">
        <v>33</v>
      </c>
      <c r="D114" s="19" t="s">
        <v>483</v>
      </c>
      <c r="E114" s="19" t="s">
        <v>484</v>
      </c>
      <c r="F114" s="19" t="s">
        <v>485</v>
      </c>
      <c r="G114" s="19" t="s">
        <v>486</v>
      </c>
      <c r="H114" s="19" t="s">
        <v>487</v>
      </c>
      <c r="I114" s="19" t="s">
        <v>111</v>
      </c>
      <c r="J114" s="20">
        <v>1</v>
      </c>
      <c r="K114" s="20">
        <v>115</v>
      </c>
      <c r="L114" s="33">
        <f>WorkmanshipResultsTable[[#This Row],[Number of Failed Units]]/WorkmanshipResultsTable[[#This Row],[Total Units Built]]</f>
        <v>8.6956521739130436E-3</v>
      </c>
      <c r="M114" s="29">
        <v>45939</v>
      </c>
      <c r="N114" s="19" t="s">
        <v>47</v>
      </c>
      <c r="O114" s="19" t="s">
        <v>488</v>
      </c>
      <c r="P114" s="20"/>
      <c r="Q114" s="19"/>
      <c r="R114" s="19"/>
      <c r="S114" s="19"/>
      <c r="T114" s="19"/>
      <c r="U114" s="21"/>
    </row>
    <row r="115" spans="1:21" ht="30.75">
      <c r="A115" s="19" t="s">
        <v>113</v>
      </c>
      <c r="B115" s="19" t="s">
        <v>163</v>
      </c>
      <c r="C115" s="19" t="s">
        <v>23</v>
      </c>
      <c r="D115" s="19" t="s">
        <v>270</v>
      </c>
      <c r="E115" s="19" t="s">
        <v>352</v>
      </c>
      <c r="F115" s="19" t="s">
        <v>489</v>
      </c>
      <c r="G115" s="19" t="s">
        <v>490</v>
      </c>
      <c r="H115" s="19" t="s">
        <v>274</v>
      </c>
      <c r="I115" s="19" t="s">
        <v>130</v>
      </c>
      <c r="J115" s="20">
        <v>1</v>
      </c>
      <c r="K115" s="20">
        <v>115</v>
      </c>
      <c r="L115" s="35">
        <f>WorkmanshipResultsTable[[#This Row],[Number of Failed Units]]/WorkmanshipResultsTable[[#This Row],[Total Units Built]]</f>
        <v>8.6956521739130436E-3</v>
      </c>
      <c r="M115" s="26">
        <v>45783</v>
      </c>
      <c r="N115" s="19" t="s">
        <v>47</v>
      </c>
      <c r="O115" s="19" t="s">
        <v>131</v>
      </c>
      <c r="P115" s="20"/>
      <c r="Q115" s="19"/>
      <c r="R115" s="19"/>
      <c r="S115" s="19"/>
      <c r="T115" s="19"/>
      <c r="U115" s="39" t="s">
        <v>79</v>
      </c>
    </row>
    <row r="116" spans="1:21" ht="33" customHeight="1">
      <c r="A116" s="19" t="s">
        <v>21</v>
      </c>
      <c r="B116" s="19" t="s">
        <v>41</v>
      </c>
      <c r="C116" s="19" t="s">
        <v>33</v>
      </c>
      <c r="D116" s="19" t="s">
        <v>491</v>
      </c>
      <c r="E116" s="19"/>
      <c r="F116" s="19" t="s">
        <v>492</v>
      </c>
      <c r="G116" s="19" t="s">
        <v>493</v>
      </c>
      <c r="H116" s="19" t="s">
        <v>494</v>
      </c>
      <c r="I116" s="19" t="s">
        <v>46</v>
      </c>
      <c r="J116" s="20">
        <v>1</v>
      </c>
      <c r="K116" s="20">
        <v>112</v>
      </c>
      <c r="L116" s="33">
        <f>WorkmanshipResultsTable[[#This Row],[Number of Failed Units]]/WorkmanshipResultsTable[[#This Row],[Total Units Built]]</f>
        <v>8.9285714285714281E-3</v>
      </c>
      <c r="M116" s="25">
        <v>45792</v>
      </c>
      <c r="N116" s="19" t="s">
        <v>47</v>
      </c>
      <c r="O116" s="19" t="s">
        <v>48</v>
      </c>
      <c r="P116" s="20"/>
      <c r="Q116" s="19"/>
      <c r="R116" s="19"/>
      <c r="S116" s="19"/>
      <c r="T116" s="19"/>
      <c r="U116" s="21"/>
    </row>
    <row r="117" spans="1:21" ht="106.5">
      <c r="A117" s="19" t="s">
        <v>21</v>
      </c>
      <c r="B117" s="19" t="s">
        <v>41</v>
      </c>
      <c r="C117" s="19" t="s">
        <v>33</v>
      </c>
      <c r="D117" s="19" t="s">
        <v>495</v>
      </c>
      <c r="E117" s="19"/>
      <c r="F117" s="19" t="s">
        <v>496</v>
      </c>
      <c r="G117" s="19" t="s">
        <v>497</v>
      </c>
      <c r="H117" s="19" t="s">
        <v>498</v>
      </c>
      <c r="I117" s="19" t="s">
        <v>46</v>
      </c>
      <c r="J117" s="20">
        <v>1</v>
      </c>
      <c r="K117" s="20">
        <v>111</v>
      </c>
      <c r="L117" s="33">
        <f>WorkmanshipResultsTable[[#This Row],[Number of Failed Units]]/WorkmanshipResultsTable[[#This Row],[Total Units Built]]</f>
        <v>9.0090090090090089E-3</v>
      </c>
      <c r="M117" s="25">
        <v>45541</v>
      </c>
      <c r="N117" s="19" t="s">
        <v>47</v>
      </c>
      <c r="O117" s="19" t="s">
        <v>48</v>
      </c>
      <c r="P117" s="20"/>
      <c r="Q117" s="19"/>
      <c r="R117" s="19"/>
      <c r="S117" s="19"/>
      <c r="T117" s="19"/>
      <c r="U117" s="21"/>
    </row>
    <row r="118" spans="1:21" ht="30.75">
      <c r="A118" s="19" t="s">
        <v>21</v>
      </c>
      <c r="B118" s="19" t="s">
        <v>63</v>
      </c>
      <c r="C118" s="19" t="s">
        <v>33</v>
      </c>
      <c r="D118" s="19" t="s">
        <v>491</v>
      </c>
      <c r="E118" s="19"/>
      <c r="F118" s="19" t="s">
        <v>499</v>
      </c>
      <c r="G118" s="19" t="s">
        <v>500</v>
      </c>
      <c r="H118" s="19" t="s">
        <v>501</v>
      </c>
      <c r="I118" s="19" t="s">
        <v>46</v>
      </c>
      <c r="J118" s="20">
        <v>1</v>
      </c>
      <c r="K118" s="20">
        <v>109</v>
      </c>
      <c r="L118" s="33">
        <f>WorkmanshipResultsTable[[#This Row],[Number of Failed Units]]/WorkmanshipResultsTable[[#This Row],[Total Units Built]]</f>
        <v>9.1743119266055051E-3</v>
      </c>
      <c r="M118" s="25">
        <v>45404</v>
      </c>
      <c r="N118" s="19" t="s">
        <v>47</v>
      </c>
      <c r="O118" s="19" t="s">
        <v>48</v>
      </c>
      <c r="P118" s="20"/>
      <c r="Q118" s="19"/>
      <c r="R118" s="19"/>
      <c r="S118" s="19"/>
      <c r="T118" s="19"/>
      <c r="U118" s="21"/>
    </row>
    <row r="119" spans="1:21" ht="45.75">
      <c r="A119" s="19" t="s">
        <v>21</v>
      </c>
      <c r="B119" s="19" t="s">
        <v>41</v>
      </c>
      <c r="C119" s="19" t="s">
        <v>33</v>
      </c>
      <c r="D119" s="19" t="s">
        <v>502</v>
      </c>
      <c r="E119" s="19"/>
      <c r="F119" s="19" t="s">
        <v>503</v>
      </c>
      <c r="G119" s="19" t="s">
        <v>504</v>
      </c>
      <c r="H119" s="19" t="s">
        <v>95</v>
      </c>
      <c r="I119" s="19" t="s">
        <v>46</v>
      </c>
      <c r="J119" s="20">
        <v>3</v>
      </c>
      <c r="K119" s="20">
        <v>326</v>
      </c>
      <c r="L119" s="33">
        <f>WorkmanshipResultsTable[[#This Row],[Number of Failed Units]]/WorkmanshipResultsTable[[#This Row],[Total Units Built]]</f>
        <v>9.202453987730062E-3</v>
      </c>
      <c r="M119" s="25">
        <v>45485</v>
      </c>
      <c r="N119" s="19" t="s">
        <v>47</v>
      </c>
      <c r="O119" s="19" t="s">
        <v>48</v>
      </c>
      <c r="P119" s="20"/>
      <c r="Q119" s="19"/>
      <c r="R119" s="19"/>
      <c r="S119" s="19"/>
      <c r="T119" s="19"/>
      <c r="U119" s="21"/>
    </row>
    <row r="120" spans="1:21" ht="45.75">
      <c r="A120" s="19" t="s">
        <v>425</v>
      </c>
      <c r="B120" s="19" t="s">
        <v>41</v>
      </c>
      <c r="C120" s="19" t="s">
        <v>23</v>
      </c>
      <c r="D120" s="19" t="s">
        <v>270</v>
      </c>
      <c r="E120" s="19" t="s">
        <v>271</v>
      </c>
      <c r="F120" s="19"/>
      <c r="G120" s="19" t="s">
        <v>505</v>
      </c>
      <c r="H120" s="19" t="s">
        <v>506</v>
      </c>
      <c r="I120" s="19" t="s">
        <v>130</v>
      </c>
      <c r="J120" s="20">
        <v>2</v>
      </c>
      <c r="K120" s="20">
        <v>215</v>
      </c>
      <c r="L120" s="35">
        <f>WorkmanshipResultsTable[[#This Row],[Number of Failed Units]]/WorkmanshipResultsTable[[#This Row],[Total Units Built]]</f>
        <v>9.3023255813953487E-3</v>
      </c>
      <c r="M120" s="25">
        <v>46180</v>
      </c>
      <c r="N120" s="19" t="s">
        <v>47</v>
      </c>
      <c r="O120" s="19" t="s">
        <v>131</v>
      </c>
      <c r="P120" s="20"/>
      <c r="Q120" s="19"/>
      <c r="R120" s="19" t="s">
        <v>429</v>
      </c>
      <c r="S120" s="19"/>
      <c r="T120" s="19"/>
      <c r="U120" s="21" t="s">
        <v>119</v>
      </c>
    </row>
    <row r="121" spans="1:21" ht="30.75">
      <c r="A121" s="19" t="s">
        <v>507</v>
      </c>
      <c r="B121" s="19" t="s">
        <v>92</v>
      </c>
      <c r="C121" s="19" t="s">
        <v>33</v>
      </c>
      <c r="D121" s="19" t="s">
        <v>407</v>
      </c>
      <c r="E121" s="19"/>
      <c r="F121" s="19" t="s">
        <v>508</v>
      </c>
      <c r="G121" s="19" t="s">
        <v>348</v>
      </c>
      <c r="H121" s="19" t="s">
        <v>349</v>
      </c>
      <c r="I121" s="19" t="s">
        <v>77</v>
      </c>
      <c r="J121" s="20">
        <v>1</v>
      </c>
      <c r="K121" s="20">
        <v>107</v>
      </c>
      <c r="L121" s="33">
        <f>WorkmanshipResultsTable[[#This Row],[Number of Failed Units]]/WorkmanshipResultsTable[[#This Row],[Total Units Built]]</f>
        <v>9.3457943925233638E-3</v>
      </c>
      <c r="M121" s="20" t="s">
        <v>509</v>
      </c>
      <c r="N121" s="21" t="s">
        <v>47</v>
      </c>
      <c r="O121" s="19" t="s">
        <v>118</v>
      </c>
      <c r="P121" s="20"/>
      <c r="Q121" s="19"/>
      <c r="R121" s="19"/>
      <c r="S121" s="19"/>
      <c r="T121" s="19"/>
      <c r="U121" s="21" t="s">
        <v>119</v>
      </c>
    </row>
    <row r="122" spans="1:21" ht="30.75">
      <c r="A122" s="19" t="s">
        <v>157</v>
      </c>
      <c r="B122" s="19" t="s">
        <v>41</v>
      </c>
      <c r="C122" s="19" t="s">
        <v>23</v>
      </c>
      <c r="D122" s="19" t="s">
        <v>158</v>
      </c>
      <c r="E122" s="19" t="s">
        <v>159</v>
      </c>
      <c r="F122" s="19" t="s">
        <v>510</v>
      </c>
      <c r="G122" s="19" t="s">
        <v>511</v>
      </c>
      <c r="H122" s="19" t="s">
        <v>512</v>
      </c>
      <c r="I122" s="22" t="s">
        <v>38</v>
      </c>
      <c r="J122" s="20">
        <v>1</v>
      </c>
      <c r="K122" s="20">
        <v>106</v>
      </c>
      <c r="L122" s="35">
        <f>WorkmanshipResultsTable[[#This Row],[Number of Failed Units]]/WorkmanshipResultsTable[[#This Row],[Total Units Built]]</f>
        <v>9.433962264150943E-3</v>
      </c>
      <c r="M122" s="25">
        <v>45424</v>
      </c>
      <c r="N122" s="19" t="s">
        <v>47</v>
      </c>
      <c r="O122" s="19" t="s">
        <v>162</v>
      </c>
      <c r="P122" s="20"/>
      <c r="Q122" s="19"/>
      <c r="R122" s="19"/>
      <c r="S122" s="19"/>
      <c r="T122" s="19"/>
      <c r="U122" s="21"/>
    </row>
    <row r="123" spans="1:21" ht="30.75">
      <c r="A123" s="19" t="s">
        <v>444</v>
      </c>
      <c r="B123" s="19" t="s">
        <v>41</v>
      </c>
      <c r="C123" s="19" t="s">
        <v>23</v>
      </c>
      <c r="D123" s="19" t="s">
        <v>158</v>
      </c>
      <c r="E123" s="19" t="s">
        <v>159</v>
      </c>
      <c r="F123" s="19" t="s">
        <v>513</v>
      </c>
      <c r="G123" s="19" t="s">
        <v>514</v>
      </c>
      <c r="H123" s="19" t="s">
        <v>515</v>
      </c>
      <c r="I123" s="22" t="s">
        <v>38</v>
      </c>
      <c r="J123" s="20">
        <v>1</v>
      </c>
      <c r="K123" s="20">
        <v>106</v>
      </c>
      <c r="L123" s="35">
        <f>WorkmanshipResultsTable[[#This Row],[Number of Failed Units]]/WorkmanshipResultsTable[[#This Row],[Total Units Built]]</f>
        <v>9.433962264150943E-3</v>
      </c>
      <c r="M123" s="25">
        <v>45424</v>
      </c>
      <c r="N123" s="19" t="s">
        <v>47</v>
      </c>
      <c r="O123" s="19" t="s">
        <v>162</v>
      </c>
      <c r="P123" s="20"/>
      <c r="Q123" s="19"/>
      <c r="R123" s="19"/>
      <c r="S123" s="19"/>
      <c r="T123" s="19"/>
      <c r="U123" s="21"/>
    </row>
    <row r="124" spans="1:21" ht="45.75">
      <c r="A124" s="19" t="s">
        <v>21</v>
      </c>
      <c r="B124" s="19" t="s">
        <v>41</v>
      </c>
      <c r="C124" s="19" t="s">
        <v>33</v>
      </c>
      <c r="D124" s="19" t="s">
        <v>64</v>
      </c>
      <c r="E124" s="19"/>
      <c r="F124" s="19" t="s">
        <v>516</v>
      </c>
      <c r="G124" s="19" t="s">
        <v>382</v>
      </c>
      <c r="H124" s="19" t="s">
        <v>383</v>
      </c>
      <c r="I124" s="19" t="s">
        <v>46</v>
      </c>
      <c r="J124" s="20">
        <v>7</v>
      </c>
      <c r="K124" s="20">
        <v>731</v>
      </c>
      <c r="L124" s="33">
        <f>WorkmanshipResultsTable[[#This Row],[Number of Failed Units]]/WorkmanshipResultsTable[[#This Row],[Total Units Built]]</f>
        <v>9.575923392612859E-3</v>
      </c>
      <c r="M124" s="25">
        <v>45758</v>
      </c>
      <c r="N124" s="19" t="s">
        <v>47</v>
      </c>
      <c r="O124" s="19" t="s">
        <v>48</v>
      </c>
      <c r="P124" s="20"/>
      <c r="Q124" s="19"/>
      <c r="R124" s="19"/>
      <c r="S124" s="19"/>
      <c r="T124" s="19"/>
      <c r="U124" s="21"/>
    </row>
    <row r="125" spans="1:21" ht="60.75">
      <c r="A125" s="19" t="s">
        <v>21</v>
      </c>
      <c r="B125" s="19" t="s">
        <v>202</v>
      </c>
      <c r="C125" s="19" t="s">
        <v>33</v>
      </c>
      <c r="D125" s="19" t="s">
        <v>52</v>
      </c>
      <c r="E125" s="19"/>
      <c r="F125" s="19" t="s">
        <v>517</v>
      </c>
      <c r="G125" s="19" t="s">
        <v>239</v>
      </c>
      <c r="H125" s="19" t="s">
        <v>205</v>
      </c>
      <c r="I125" s="19" t="s">
        <v>46</v>
      </c>
      <c r="J125" s="20">
        <v>3</v>
      </c>
      <c r="K125" s="20">
        <v>304</v>
      </c>
      <c r="L125" s="33">
        <f>WorkmanshipResultsTable[[#This Row],[Number of Failed Units]]/WorkmanshipResultsTable[[#This Row],[Total Units Built]]</f>
        <v>9.8684210526315784E-3</v>
      </c>
      <c r="M125" s="25">
        <v>45705</v>
      </c>
      <c r="N125" s="19" t="s">
        <v>47</v>
      </c>
      <c r="O125" s="19" t="s">
        <v>48</v>
      </c>
      <c r="P125" s="20"/>
      <c r="Q125" s="19"/>
      <c r="R125" s="19"/>
      <c r="S125" s="19"/>
      <c r="T125" s="19"/>
      <c r="U125" s="21"/>
    </row>
    <row r="126" spans="1:21" ht="45.75">
      <c r="A126" s="19" t="s">
        <v>21</v>
      </c>
      <c r="B126" s="19" t="s">
        <v>22</v>
      </c>
      <c r="C126" s="19" t="s">
        <v>23</v>
      </c>
      <c r="D126" s="19" t="s">
        <v>518</v>
      </c>
      <c r="E126" s="19" t="s">
        <v>519</v>
      </c>
      <c r="F126" s="19" t="s">
        <v>520</v>
      </c>
      <c r="G126" s="19" t="s">
        <v>521</v>
      </c>
      <c r="H126" s="19"/>
      <c r="I126" s="19" t="s">
        <v>111</v>
      </c>
      <c r="J126" s="20">
        <v>1</v>
      </c>
      <c r="K126" s="20">
        <v>101</v>
      </c>
      <c r="L126" s="33">
        <f>WorkmanshipResultsTable[[#This Row],[Number of Failed Units]]/WorkmanshipResultsTable[[#This Row],[Total Units Built]]</f>
        <v>9.9009900990099011E-3</v>
      </c>
      <c r="M126" s="25">
        <v>45373</v>
      </c>
      <c r="N126" s="19" t="s">
        <v>29</v>
      </c>
      <c r="O126" s="19" t="s">
        <v>30</v>
      </c>
      <c r="P126" s="20" t="s">
        <v>522</v>
      </c>
      <c r="Q126" s="19"/>
      <c r="R126" s="19"/>
      <c r="S126" s="19"/>
      <c r="T126" s="19"/>
      <c r="U126" s="21"/>
    </row>
    <row r="127" spans="1:21" ht="49.5" customHeight="1">
      <c r="A127" s="19" t="s">
        <v>21</v>
      </c>
      <c r="B127" s="19" t="s">
        <v>32</v>
      </c>
      <c r="C127" s="19" t="s">
        <v>23</v>
      </c>
      <c r="D127" s="19" t="s">
        <v>213</v>
      </c>
      <c r="E127" s="19" t="s">
        <v>214</v>
      </c>
      <c r="F127" s="19" t="s">
        <v>523</v>
      </c>
      <c r="G127" s="19" t="s">
        <v>228</v>
      </c>
      <c r="H127" s="19" t="s">
        <v>27</v>
      </c>
      <c r="I127" s="19" t="s">
        <v>28</v>
      </c>
      <c r="J127" s="20">
        <v>1</v>
      </c>
      <c r="K127" s="20">
        <v>100</v>
      </c>
      <c r="L127" s="33">
        <f>WorkmanshipResultsTable[[#This Row],[Number of Failed Units]]/WorkmanshipResultsTable[[#This Row],[Total Units Built]]</f>
        <v>0.01</v>
      </c>
      <c r="M127" s="25">
        <v>45407</v>
      </c>
      <c r="N127" s="19" t="s">
        <v>29</v>
      </c>
      <c r="O127" s="19" t="s">
        <v>30</v>
      </c>
      <c r="P127" s="20" t="s">
        <v>524</v>
      </c>
      <c r="Q127" s="19"/>
      <c r="R127" s="19"/>
      <c r="S127" s="19"/>
      <c r="T127" s="19"/>
      <c r="U127" s="21"/>
    </row>
    <row r="128" spans="1:21" ht="29.25" customHeight="1">
      <c r="A128" s="19" t="s">
        <v>21</v>
      </c>
      <c r="B128" s="19" t="s">
        <v>41</v>
      </c>
      <c r="C128" s="19" t="s">
        <v>33</v>
      </c>
      <c r="D128" s="19" t="s">
        <v>64</v>
      </c>
      <c r="E128" s="19"/>
      <c r="F128" s="19" t="s">
        <v>525</v>
      </c>
      <c r="G128" s="19" t="s">
        <v>526</v>
      </c>
      <c r="H128" s="19" t="s">
        <v>527</v>
      </c>
      <c r="I128" s="19" t="s">
        <v>46</v>
      </c>
      <c r="J128" s="20">
        <v>1</v>
      </c>
      <c r="K128" s="20">
        <v>99</v>
      </c>
      <c r="L128" s="33">
        <f>WorkmanshipResultsTable[[#This Row],[Number of Failed Units]]/WorkmanshipResultsTable[[#This Row],[Total Units Built]]</f>
        <v>1.0101010101010102E-2</v>
      </c>
      <c r="M128" s="25">
        <v>45555</v>
      </c>
      <c r="N128" s="19" t="s">
        <v>47</v>
      </c>
      <c r="O128" s="19" t="s">
        <v>48</v>
      </c>
      <c r="P128" s="20"/>
      <c r="Q128" s="19"/>
      <c r="R128" s="19"/>
      <c r="S128" s="19"/>
      <c r="T128" s="19"/>
      <c r="U128" s="21"/>
    </row>
    <row r="129" spans="1:21" ht="45.75">
      <c r="A129" s="19" t="s">
        <v>21</v>
      </c>
      <c r="B129" s="19" t="s">
        <v>92</v>
      </c>
      <c r="C129" s="19" t="s">
        <v>33</v>
      </c>
      <c r="D129" s="19" t="s">
        <v>528</v>
      </c>
      <c r="E129" s="19"/>
      <c r="F129" s="19" t="s">
        <v>529</v>
      </c>
      <c r="G129" s="19" t="s">
        <v>530</v>
      </c>
      <c r="H129" s="19" t="s">
        <v>297</v>
      </c>
      <c r="I129" s="19" t="s">
        <v>46</v>
      </c>
      <c r="J129" s="20">
        <v>1</v>
      </c>
      <c r="K129" s="20">
        <v>96</v>
      </c>
      <c r="L129" s="33">
        <f>WorkmanshipResultsTable[[#This Row],[Number of Failed Units]]/WorkmanshipResultsTable[[#This Row],[Total Units Built]]</f>
        <v>1.0416666666666666E-2</v>
      </c>
      <c r="M129" s="25">
        <v>45479</v>
      </c>
      <c r="N129" s="19" t="s">
        <v>47</v>
      </c>
      <c r="O129" s="19" t="s">
        <v>48</v>
      </c>
      <c r="P129" s="20"/>
      <c r="Q129" s="19"/>
      <c r="R129" s="19"/>
      <c r="S129" s="19"/>
      <c r="T129" s="19"/>
      <c r="U129" s="21"/>
    </row>
    <row r="130" spans="1:21" ht="34.5" customHeight="1">
      <c r="A130" s="19" t="s">
        <v>96</v>
      </c>
      <c r="B130" s="19" t="s">
        <v>531</v>
      </c>
      <c r="C130" s="19" t="s">
        <v>23</v>
      </c>
      <c r="D130" s="19" t="s">
        <v>181</v>
      </c>
      <c r="E130" s="19" t="s">
        <v>532</v>
      </c>
      <c r="F130" s="19"/>
      <c r="G130" s="19" t="s">
        <v>533</v>
      </c>
      <c r="H130" s="19" t="s">
        <v>534</v>
      </c>
      <c r="I130" s="22" t="s">
        <v>140</v>
      </c>
      <c r="J130" s="23">
        <v>1</v>
      </c>
      <c r="K130" s="23">
        <v>95</v>
      </c>
      <c r="L130" s="33">
        <f>IF(OR(J130="",K130="",K130=0),"",J130/K130)</f>
        <v>1.0526315789473684E-2</v>
      </c>
      <c r="M130" s="24" t="s">
        <v>535</v>
      </c>
      <c r="N130" s="19" t="s">
        <v>47</v>
      </c>
      <c r="O130" s="19" t="s">
        <v>536</v>
      </c>
      <c r="P130" s="20"/>
      <c r="Q130" s="19" t="s">
        <v>537</v>
      </c>
      <c r="R130" s="19" t="s">
        <v>538</v>
      </c>
      <c r="S130" s="19" t="s">
        <v>189</v>
      </c>
      <c r="T130" s="19" t="s">
        <v>539</v>
      </c>
      <c r="U130" s="21" t="s">
        <v>119</v>
      </c>
    </row>
    <row r="131" spans="1:21" ht="27" customHeight="1">
      <c r="A131" s="19" t="s">
        <v>157</v>
      </c>
      <c r="B131" s="19" t="s">
        <v>41</v>
      </c>
      <c r="C131" s="19" t="s">
        <v>23</v>
      </c>
      <c r="D131" s="19" t="s">
        <v>158</v>
      </c>
      <c r="E131" s="19" t="s">
        <v>159</v>
      </c>
      <c r="F131" s="19" t="s">
        <v>540</v>
      </c>
      <c r="G131" s="19" t="s">
        <v>541</v>
      </c>
      <c r="H131" s="19" t="s">
        <v>542</v>
      </c>
      <c r="I131" s="22" t="s">
        <v>38</v>
      </c>
      <c r="J131" s="20">
        <v>2</v>
      </c>
      <c r="K131" s="20">
        <v>188</v>
      </c>
      <c r="L131" s="35">
        <f>WorkmanshipResultsTable[[#This Row],[Number of Failed Units]]/WorkmanshipResultsTable[[#This Row],[Total Units Built]]</f>
        <v>1.0638297872340425E-2</v>
      </c>
      <c r="M131" s="25">
        <v>45431</v>
      </c>
      <c r="N131" s="19" t="s">
        <v>47</v>
      </c>
      <c r="O131" s="19" t="s">
        <v>162</v>
      </c>
      <c r="P131" s="20"/>
      <c r="Q131" s="19"/>
      <c r="R131" s="19"/>
      <c r="S131" s="19"/>
      <c r="T131" s="19"/>
      <c r="U131" s="21"/>
    </row>
    <row r="132" spans="1:21" ht="30.75">
      <c r="A132" s="19" t="s">
        <v>543</v>
      </c>
      <c r="B132" s="19" t="s">
        <v>41</v>
      </c>
      <c r="C132" s="19" t="s">
        <v>23</v>
      </c>
      <c r="D132" s="19" t="s">
        <v>158</v>
      </c>
      <c r="E132" s="19" t="s">
        <v>159</v>
      </c>
      <c r="F132" s="19" t="s">
        <v>544</v>
      </c>
      <c r="G132" s="19" t="s">
        <v>545</v>
      </c>
      <c r="H132" s="19"/>
      <c r="I132" s="22" t="s">
        <v>38</v>
      </c>
      <c r="J132" s="20">
        <v>2</v>
      </c>
      <c r="K132" s="20">
        <v>188</v>
      </c>
      <c r="L132" s="35">
        <f>WorkmanshipResultsTable[[#This Row],[Number of Failed Units]]/WorkmanshipResultsTable[[#This Row],[Total Units Built]]</f>
        <v>1.0638297872340425E-2</v>
      </c>
      <c r="M132" s="25">
        <v>45431</v>
      </c>
      <c r="N132" s="19" t="s">
        <v>47</v>
      </c>
      <c r="O132" s="19" t="s">
        <v>162</v>
      </c>
      <c r="P132" s="20"/>
      <c r="Q132" s="19"/>
      <c r="R132" s="19"/>
      <c r="S132" s="19"/>
      <c r="T132" s="19"/>
      <c r="U132" s="21"/>
    </row>
    <row r="133" spans="1:21" ht="60.75">
      <c r="A133" s="19" t="s">
        <v>157</v>
      </c>
      <c r="B133" s="19" t="s">
        <v>531</v>
      </c>
      <c r="C133" s="19" t="s">
        <v>23</v>
      </c>
      <c r="D133" s="19" t="s">
        <v>307</v>
      </c>
      <c r="E133" s="19" t="s">
        <v>308</v>
      </c>
      <c r="F133" s="19"/>
      <c r="G133" s="19" t="s">
        <v>546</v>
      </c>
      <c r="H133" s="19" t="s">
        <v>547</v>
      </c>
      <c r="I133" s="22" t="s">
        <v>140</v>
      </c>
      <c r="J133" s="23">
        <v>4</v>
      </c>
      <c r="K133" s="23">
        <v>376</v>
      </c>
      <c r="L133" s="33">
        <f>IF(OR(J133="",K133="",K133=0),"",J133/K133)</f>
        <v>1.0638297872340425E-2</v>
      </c>
      <c r="M133" s="24" t="s">
        <v>311</v>
      </c>
      <c r="N133" s="19" t="s">
        <v>47</v>
      </c>
      <c r="O133" s="19" t="s">
        <v>548</v>
      </c>
      <c r="P133" s="20"/>
      <c r="Q133" s="19" t="s">
        <v>549</v>
      </c>
      <c r="R133" s="19" t="s">
        <v>550</v>
      </c>
      <c r="S133" s="19" t="s">
        <v>189</v>
      </c>
      <c r="T133" s="19" t="s">
        <v>315</v>
      </c>
      <c r="U133" s="21" t="s">
        <v>119</v>
      </c>
    </row>
    <row r="134" spans="1:21" ht="76.5">
      <c r="A134" s="19" t="s">
        <v>191</v>
      </c>
      <c r="B134" s="19" t="s">
        <v>73</v>
      </c>
      <c r="C134" s="19" t="s">
        <v>23</v>
      </c>
      <c r="D134" s="19" t="s">
        <v>307</v>
      </c>
      <c r="E134" s="19" t="s">
        <v>308</v>
      </c>
      <c r="F134" s="19"/>
      <c r="G134" s="19" t="s">
        <v>551</v>
      </c>
      <c r="H134" s="19" t="s">
        <v>317</v>
      </c>
      <c r="I134" s="22" t="s">
        <v>140</v>
      </c>
      <c r="J134" s="23">
        <v>4</v>
      </c>
      <c r="K134" s="23">
        <v>376</v>
      </c>
      <c r="L134" s="33">
        <f>IF(OR(J134="",K134="",K134=0),"",J134/K134)</f>
        <v>1.0638297872340425E-2</v>
      </c>
      <c r="M134" s="24" t="s">
        <v>311</v>
      </c>
      <c r="N134" s="19" t="s">
        <v>47</v>
      </c>
      <c r="O134" s="19" t="s">
        <v>552</v>
      </c>
      <c r="P134" s="20"/>
      <c r="Q134" s="19" t="s">
        <v>553</v>
      </c>
      <c r="R134" s="19" t="s">
        <v>554</v>
      </c>
      <c r="S134" s="19" t="s">
        <v>189</v>
      </c>
      <c r="T134" s="19" t="s">
        <v>315</v>
      </c>
      <c r="U134" s="21" t="s">
        <v>119</v>
      </c>
    </row>
    <row r="135" spans="1:21" ht="30.75">
      <c r="A135" s="19" t="s">
        <v>21</v>
      </c>
      <c r="B135" s="19" t="s">
        <v>41</v>
      </c>
      <c r="C135" s="19" t="s">
        <v>33</v>
      </c>
      <c r="D135" s="19" t="s">
        <v>52</v>
      </c>
      <c r="E135" s="19"/>
      <c r="F135" s="19" t="s">
        <v>555</v>
      </c>
      <c r="G135" s="19" t="s">
        <v>556</v>
      </c>
      <c r="H135" s="19" t="s">
        <v>557</v>
      </c>
      <c r="I135" s="19" t="s">
        <v>46</v>
      </c>
      <c r="J135" s="20">
        <v>8</v>
      </c>
      <c r="K135" s="20">
        <v>715</v>
      </c>
      <c r="L135" s="33">
        <f>WorkmanshipResultsTable[[#This Row],[Number of Failed Units]]/WorkmanshipResultsTable[[#This Row],[Total Units Built]]</f>
        <v>1.1188811188811189E-2</v>
      </c>
      <c r="M135" s="25">
        <v>45841</v>
      </c>
      <c r="N135" s="19" t="s">
        <v>47</v>
      </c>
      <c r="O135" s="19" t="s">
        <v>48</v>
      </c>
      <c r="P135" s="20"/>
      <c r="Q135" s="19"/>
      <c r="R135" s="19"/>
      <c r="S135" s="19"/>
      <c r="T135" s="19"/>
      <c r="U135" s="21"/>
    </row>
    <row r="136" spans="1:21" ht="45.75">
      <c r="A136" s="19" t="s">
        <v>113</v>
      </c>
      <c r="B136" s="19" t="s">
        <v>92</v>
      </c>
      <c r="C136" s="19" t="s">
        <v>23</v>
      </c>
      <c r="D136" s="19" t="s">
        <v>125</v>
      </c>
      <c r="E136" s="19" t="s">
        <v>234</v>
      </c>
      <c r="F136" s="19" t="s">
        <v>558</v>
      </c>
      <c r="G136" s="19" t="s">
        <v>559</v>
      </c>
      <c r="H136" s="19" t="s">
        <v>473</v>
      </c>
      <c r="I136" s="19" t="s">
        <v>130</v>
      </c>
      <c r="J136" s="20">
        <v>3</v>
      </c>
      <c r="K136" s="20">
        <v>264</v>
      </c>
      <c r="L136" s="35">
        <f>WorkmanshipResultsTable[[#This Row],[Number of Failed Units]]/WorkmanshipResultsTable[[#This Row],[Total Units Built]]</f>
        <v>1.1363636363636364E-2</v>
      </c>
      <c r="M136" s="26">
        <v>46029</v>
      </c>
      <c r="N136" s="19" t="s">
        <v>47</v>
      </c>
      <c r="O136" s="19" t="s">
        <v>131</v>
      </c>
      <c r="P136" s="20"/>
      <c r="Q136" s="19"/>
      <c r="R136" s="19"/>
      <c r="S136" s="19"/>
      <c r="T136" s="19"/>
      <c r="U136" s="39" t="s">
        <v>79</v>
      </c>
    </row>
    <row r="137" spans="1:21" ht="30.75">
      <c r="A137" s="19" t="s">
        <v>157</v>
      </c>
      <c r="B137" s="19" t="s">
        <v>41</v>
      </c>
      <c r="C137" s="19" t="s">
        <v>23</v>
      </c>
      <c r="D137" s="19" t="s">
        <v>158</v>
      </c>
      <c r="E137" s="19" t="s">
        <v>159</v>
      </c>
      <c r="F137" s="19" t="s">
        <v>560</v>
      </c>
      <c r="G137" s="19" t="s">
        <v>561</v>
      </c>
      <c r="H137" s="19"/>
      <c r="I137" s="22" t="s">
        <v>38</v>
      </c>
      <c r="J137" s="20">
        <v>1</v>
      </c>
      <c r="K137" s="20">
        <v>85</v>
      </c>
      <c r="L137" s="35">
        <f>WorkmanshipResultsTable[[#This Row],[Number of Failed Units]]/WorkmanshipResultsTable[[#This Row],[Total Units Built]]</f>
        <v>1.1764705882352941E-2</v>
      </c>
      <c r="M137" s="25">
        <v>45452</v>
      </c>
      <c r="N137" s="19" t="s">
        <v>47</v>
      </c>
      <c r="O137" s="19" t="s">
        <v>162</v>
      </c>
      <c r="P137" s="20"/>
      <c r="Q137" s="19"/>
      <c r="R137" s="19"/>
      <c r="S137" s="19"/>
      <c r="T137" s="19"/>
      <c r="U137" s="21"/>
    </row>
    <row r="138" spans="1:21" ht="30.75">
      <c r="A138" s="19" t="s">
        <v>562</v>
      </c>
      <c r="B138" s="19" t="s">
        <v>41</v>
      </c>
      <c r="C138" s="19" t="s">
        <v>23</v>
      </c>
      <c r="D138" s="19" t="s">
        <v>351</v>
      </c>
      <c r="E138" s="19" t="s">
        <v>352</v>
      </c>
      <c r="F138" s="19"/>
      <c r="G138" s="19" t="s">
        <v>563</v>
      </c>
      <c r="H138" s="19" t="s">
        <v>564</v>
      </c>
      <c r="I138" s="22" t="s">
        <v>140</v>
      </c>
      <c r="J138" s="20">
        <v>3</v>
      </c>
      <c r="K138" s="20">
        <v>255</v>
      </c>
      <c r="L138" s="35">
        <f>WorkmanshipResultsTable[[#This Row],[Number of Failed Units]]/WorkmanshipResultsTable[[#This Row],[Total Units Built]]</f>
        <v>1.1764705882352941E-2</v>
      </c>
      <c r="M138" s="20" t="s">
        <v>433</v>
      </c>
      <c r="N138" s="19" t="s">
        <v>47</v>
      </c>
      <c r="O138" s="19" t="s">
        <v>327</v>
      </c>
      <c r="P138" s="20"/>
      <c r="Q138" s="19"/>
      <c r="R138" s="19"/>
      <c r="S138" s="19"/>
      <c r="T138" s="19"/>
      <c r="U138" s="39" t="s">
        <v>119</v>
      </c>
    </row>
    <row r="139" spans="1:21" ht="45.75">
      <c r="A139" s="19" t="s">
        <v>96</v>
      </c>
      <c r="B139" s="19" t="s">
        <v>531</v>
      </c>
      <c r="C139" s="19" t="s">
        <v>23</v>
      </c>
      <c r="D139" s="19" t="s">
        <v>181</v>
      </c>
      <c r="E139" s="19" t="s">
        <v>182</v>
      </c>
      <c r="F139" s="19"/>
      <c r="G139" s="19" t="s">
        <v>565</v>
      </c>
      <c r="H139" s="19" t="s">
        <v>566</v>
      </c>
      <c r="I139" s="22" t="s">
        <v>140</v>
      </c>
      <c r="J139" s="23">
        <v>4</v>
      </c>
      <c r="K139" s="23">
        <v>336</v>
      </c>
      <c r="L139" s="33">
        <f>IF(OR(J139="",K139="",K139=0),"",J139/K139)</f>
        <v>1.1904761904761904E-2</v>
      </c>
      <c r="M139" s="24" t="s">
        <v>185</v>
      </c>
      <c r="N139" s="19" t="s">
        <v>47</v>
      </c>
      <c r="O139" s="19" t="s">
        <v>567</v>
      </c>
      <c r="P139" s="20"/>
      <c r="Q139" s="19" t="s">
        <v>568</v>
      </c>
      <c r="R139" s="19" t="s">
        <v>569</v>
      </c>
      <c r="S139" s="19" t="s">
        <v>189</v>
      </c>
      <c r="T139" s="19" t="s">
        <v>570</v>
      </c>
      <c r="U139" s="21" t="s">
        <v>119</v>
      </c>
    </row>
    <row r="140" spans="1:21" ht="30.75">
      <c r="A140" s="19" t="s">
        <v>21</v>
      </c>
      <c r="B140" s="19" t="s">
        <v>41</v>
      </c>
      <c r="C140" s="19" t="s">
        <v>33</v>
      </c>
      <c r="D140" s="19" t="s">
        <v>42</v>
      </c>
      <c r="E140" s="19"/>
      <c r="F140" s="19" t="s">
        <v>571</v>
      </c>
      <c r="G140" s="19" t="s">
        <v>572</v>
      </c>
      <c r="H140" s="19" t="s">
        <v>51</v>
      </c>
      <c r="I140" s="19" t="s">
        <v>46</v>
      </c>
      <c r="J140" s="20">
        <v>3</v>
      </c>
      <c r="K140" s="20">
        <v>249</v>
      </c>
      <c r="L140" s="33">
        <f>WorkmanshipResultsTable[[#This Row],[Number of Failed Units]]/WorkmanshipResultsTable[[#This Row],[Total Units Built]]</f>
        <v>1.2048192771084338E-2</v>
      </c>
      <c r="M140" s="25">
        <v>45615</v>
      </c>
      <c r="N140" s="19" t="s">
        <v>47</v>
      </c>
      <c r="O140" s="19" t="s">
        <v>48</v>
      </c>
      <c r="P140" s="20"/>
      <c r="Q140" s="19"/>
      <c r="R140" s="19"/>
      <c r="S140" s="19"/>
      <c r="T140" s="19"/>
      <c r="U140" s="21"/>
    </row>
    <row r="141" spans="1:21" ht="28.5" customHeight="1">
      <c r="A141" s="19" t="s">
        <v>21</v>
      </c>
      <c r="B141" s="19" t="s">
        <v>63</v>
      </c>
      <c r="C141" s="19" t="s">
        <v>33</v>
      </c>
      <c r="D141" s="19" t="s">
        <v>42</v>
      </c>
      <c r="E141" s="19"/>
      <c r="F141" s="19" t="s">
        <v>573</v>
      </c>
      <c r="G141" s="19" t="s">
        <v>288</v>
      </c>
      <c r="H141" s="19" t="s">
        <v>51</v>
      </c>
      <c r="I141" s="19" t="s">
        <v>46</v>
      </c>
      <c r="J141" s="20">
        <v>3</v>
      </c>
      <c r="K141" s="20">
        <v>249</v>
      </c>
      <c r="L141" s="33">
        <f>WorkmanshipResultsTable[[#This Row],[Number of Failed Units]]/WorkmanshipResultsTable[[#This Row],[Total Units Built]]</f>
        <v>1.2048192771084338E-2</v>
      </c>
      <c r="M141" s="25">
        <v>45618</v>
      </c>
      <c r="N141" s="19" t="s">
        <v>47</v>
      </c>
      <c r="O141" s="19" t="s">
        <v>48</v>
      </c>
      <c r="P141" s="20"/>
      <c r="Q141" s="19"/>
      <c r="R141" s="19"/>
      <c r="S141" s="19"/>
      <c r="T141" s="19"/>
      <c r="U141" s="21"/>
    </row>
    <row r="142" spans="1:21" ht="29.25" customHeight="1">
      <c r="A142" s="19" t="s">
        <v>574</v>
      </c>
      <c r="B142" s="19" t="s">
        <v>41</v>
      </c>
      <c r="C142" s="19" t="s">
        <v>33</v>
      </c>
      <c r="D142" s="19" t="s">
        <v>171</v>
      </c>
      <c r="E142" s="19"/>
      <c r="F142" s="19" t="s">
        <v>575</v>
      </c>
      <c r="G142" s="19" t="s">
        <v>576</v>
      </c>
      <c r="H142" s="19" t="s">
        <v>577</v>
      </c>
      <c r="I142" s="19" t="s">
        <v>176</v>
      </c>
      <c r="J142" s="20">
        <v>1</v>
      </c>
      <c r="K142" s="20">
        <v>83</v>
      </c>
      <c r="L142" s="33">
        <f>WorkmanshipResultsTable[[#This Row],[Number of Failed Units]]/WorkmanshipResultsTable[[#This Row],[Total Units Built]]</f>
        <v>1.2048192771084338E-2</v>
      </c>
      <c r="M142" s="25">
        <v>45807</v>
      </c>
      <c r="N142" s="27" t="s">
        <v>47</v>
      </c>
      <c r="O142" s="19" t="s">
        <v>177</v>
      </c>
      <c r="P142" s="20"/>
      <c r="Q142" s="19"/>
      <c r="R142" s="19"/>
      <c r="S142" s="19"/>
      <c r="T142" s="19"/>
      <c r="U142" s="21"/>
    </row>
    <row r="143" spans="1:21" ht="30.75">
      <c r="A143" s="19" t="s">
        <v>21</v>
      </c>
      <c r="B143" s="19" t="s">
        <v>41</v>
      </c>
      <c r="C143" s="19" t="s">
        <v>33</v>
      </c>
      <c r="D143" s="19" t="s">
        <v>52</v>
      </c>
      <c r="E143" s="19"/>
      <c r="F143" s="19" t="s">
        <v>578</v>
      </c>
      <c r="G143" s="19" t="s">
        <v>579</v>
      </c>
      <c r="H143" s="19" t="s">
        <v>180</v>
      </c>
      <c r="I143" s="19" t="s">
        <v>46</v>
      </c>
      <c r="J143" s="20">
        <v>7</v>
      </c>
      <c r="K143" s="20">
        <v>575</v>
      </c>
      <c r="L143" s="33">
        <f>WorkmanshipResultsTable[[#This Row],[Number of Failed Units]]/WorkmanshipResultsTable[[#This Row],[Total Units Built]]</f>
        <v>1.2173913043478261E-2</v>
      </c>
      <c r="M143" s="25">
        <v>45481</v>
      </c>
      <c r="N143" s="19" t="s">
        <v>47</v>
      </c>
      <c r="O143" s="19" t="s">
        <v>48</v>
      </c>
      <c r="P143" s="20"/>
      <c r="Q143" s="19"/>
      <c r="R143" s="19"/>
      <c r="S143" s="19"/>
      <c r="T143" s="19"/>
      <c r="U143" s="21"/>
    </row>
    <row r="144" spans="1:21" ht="30.75">
      <c r="A144" s="19" t="s">
        <v>113</v>
      </c>
      <c r="B144" s="19" t="s">
        <v>92</v>
      </c>
      <c r="C144" s="19" t="s">
        <v>33</v>
      </c>
      <c r="D144" s="19" t="s">
        <v>580</v>
      </c>
      <c r="E144" s="19"/>
      <c r="F144" s="19" t="s">
        <v>581</v>
      </c>
      <c r="G144" s="19" t="s">
        <v>348</v>
      </c>
      <c r="H144" s="19" t="s">
        <v>349</v>
      </c>
      <c r="I144" s="19" t="s">
        <v>77</v>
      </c>
      <c r="J144" s="20">
        <v>1</v>
      </c>
      <c r="K144" s="20">
        <v>82</v>
      </c>
      <c r="L144" s="33">
        <f>WorkmanshipResultsTable[[#This Row],[Number of Failed Units]]/WorkmanshipResultsTable[[#This Row],[Total Units Built]]</f>
        <v>1.2195121951219513E-2</v>
      </c>
      <c r="M144" s="20" t="s">
        <v>509</v>
      </c>
      <c r="N144" s="21" t="s">
        <v>47</v>
      </c>
      <c r="O144" s="19" t="s">
        <v>118</v>
      </c>
      <c r="P144" s="20"/>
      <c r="Q144" s="19"/>
      <c r="R144" s="19"/>
      <c r="S144" s="19"/>
      <c r="T144" s="19"/>
      <c r="U144" s="21" t="s">
        <v>119</v>
      </c>
    </row>
    <row r="145" spans="1:21" ht="36" customHeight="1">
      <c r="A145" s="19" t="s">
        <v>21</v>
      </c>
      <c r="B145" s="19" t="s">
        <v>92</v>
      </c>
      <c r="C145" s="19" t="s">
        <v>33</v>
      </c>
      <c r="D145" s="19" t="s">
        <v>582</v>
      </c>
      <c r="E145" s="19" t="s">
        <v>583</v>
      </c>
      <c r="F145" s="19" t="s">
        <v>584</v>
      </c>
      <c r="G145" s="19" t="s">
        <v>585</v>
      </c>
      <c r="H145" s="19" t="s">
        <v>586</v>
      </c>
      <c r="I145" s="19" t="s">
        <v>46</v>
      </c>
      <c r="J145" s="20">
        <v>2</v>
      </c>
      <c r="K145" s="20">
        <v>163</v>
      </c>
      <c r="L145" s="33">
        <f>WorkmanshipResultsTable[[#This Row],[Number of Failed Units]]/WorkmanshipResultsTable[[#This Row],[Total Units Built]]</f>
        <v>1.2269938650306749E-2</v>
      </c>
      <c r="M145" s="25">
        <v>45841</v>
      </c>
      <c r="N145" s="21" t="s">
        <v>29</v>
      </c>
      <c r="O145" s="19" t="s">
        <v>90</v>
      </c>
      <c r="P145" s="20" t="s">
        <v>587</v>
      </c>
      <c r="Q145" s="19"/>
      <c r="R145" s="19"/>
      <c r="S145" s="19"/>
      <c r="T145" s="19"/>
      <c r="U145" s="21"/>
    </row>
    <row r="146" spans="1:21" ht="30.75">
      <c r="A146" s="19" t="s">
        <v>113</v>
      </c>
      <c r="B146" s="19" t="s">
        <v>163</v>
      </c>
      <c r="C146" s="19" t="s">
        <v>23</v>
      </c>
      <c r="D146" s="19" t="s">
        <v>270</v>
      </c>
      <c r="E146" s="19" t="s">
        <v>352</v>
      </c>
      <c r="F146" s="19" t="s">
        <v>588</v>
      </c>
      <c r="G146" s="19" t="s">
        <v>589</v>
      </c>
      <c r="H146" s="19" t="s">
        <v>274</v>
      </c>
      <c r="I146" s="19" t="s">
        <v>130</v>
      </c>
      <c r="J146" s="20">
        <v>1</v>
      </c>
      <c r="K146" s="20">
        <v>81</v>
      </c>
      <c r="L146" s="35">
        <f>WorkmanshipResultsTable[[#This Row],[Number of Failed Units]]/WorkmanshipResultsTable[[#This Row],[Total Units Built]]</f>
        <v>1.2345679012345678E-2</v>
      </c>
      <c r="M146" s="26">
        <v>45778</v>
      </c>
      <c r="N146" s="19" t="s">
        <v>47</v>
      </c>
      <c r="O146" s="19" t="s">
        <v>131</v>
      </c>
      <c r="P146" s="20"/>
      <c r="Q146" s="19"/>
      <c r="R146" s="19"/>
      <c r="S146" s="19"/>
      <c r="T146" s="19"/>
      <c r="U146" s="39" t="s">
        <v>79</v>
      </c>
    </row>
    <row r="147" spans="1:21" ht="45.75">
      <c r="A147" s="19" t="s">
        <v>21</v>
      </c>
      <c r="B147" s="19" t="s">
        <v>41</v>
      </c>
      <c r="C147" s="19" t="s">
        <v>33</v>
      </c>
      <c r="D147" s="19" t="s">
        <v>171</v>
      </c>
      <c r="E147" s="19"/>
      <c r="F147" s="19" t="s">
        <v>590</v>
      </c>
      <c r="G147" s="19" t="s">
        <v>591</v>
      </c>
      <c r="H147" s="19" t="s">
        <v>592</v>
      </c>
      <c r="I147" s="19" t="s">
        <v>46</v>
      </c>
      <c r="J147" s="20">
        <v>6</v>
      </c>
      <c r="K147" s="20">
        <v>484</v>
      </c>
      <c r="L147" s="33">
        <f>WorkmanshipResultsTable[[#This Row],[Number of Failed Units]]/WorkmanshipResultsTable[[#This Row],[Total Units Built]]</f>
        <v>1.2396694214876033E-2</v>
      </c>
      <c r="M147" s="25">
        <v>46204</v>
      </c>
      <c r="N147" s="19" t="s">
        <v>47</v>
      </c>
      <c r="O147" s="19" t="s">
        <v>48</v>
      </c>
      <c r="P147" s="20"/>
      <c r="Q147" s="19"/>
      <c r="R147" s="19"/>
      <c r="S147" s="19"/>
      <c r="T147" s="19"/>
      <c r="U147" s="21" t="s">
        <v>233</v>
      </c>
    </row>
    <row r="148" spans="1:21" ht="45.75">
      <c r="A148" s="19" t="s">
        <v>157</v>
      </c>
      <c r="B148" s="19" t="s">
        <v>163</v>
      </c>
      <c r="C148" s="19" t="s">
        <v>23</v>
      </c>
      <c r="D148" s="19" t="s">
        <v>158</v>
      </c>
      <c r="E148" s="19" t="s">
        <v>159</v>
      </c>
      <c r="F148" s="19" t="s">
        <v>593</v>
      </c>
      <c r="G148" s="19" t="s">
        <v>594</v>
      </c>
      <c r="H148" s="19"/>
      <c r="I148" s="22" t="s">
        <v>38</v>
      </c>
      <c r="J148" s="20">
        <v>3</v>
      </c>
      <c r="K148" s="20">
        <v>241</v>
      </c>
      <c r="L148" s="35">
        <f>WorkmanshipResultsTable[[#This Row],[Number of Failed Units]]/WorkmanshipResultsTable[[#This Row],[Total Units Built]]</f>
        <v>1.2448132780082987E-2</v>
      </c>
      <c r="M148" s="25">
        <v>45389</v>
      </c>
      <c r="N148" s="19" t="s">
        <v>47</v>
      </c>
      <c r="O148" s="19" t="s">
        <v>162</v>
      </c>
      <c r="P148" s="20"/>
      <c r="Q148" s="19"/>
      <c r="R148" s="19"/>
      <c r="S148" s="19"/>
      <c r="T148" s="19"/>
      <c r="U148" s="21"/>
    </row>
    <row r="149" spans="1:21" ht="45.75">
      <c r="A149" s="19" t="s">
        <v>157</v>
      </c>
      <c r="B149" s="19" t="s">
        <v>41</v>
      </c>
      <c r="C149" s="19" t="s">
        <v>23</v>
      </c>
      <c r="D149" s="19" t="s">
        <v>158</v>
      </c>
      <c r="E149" s="19" t="s">
        <v>159</v>
      </c>
      <c r="F149" s="19" t="s">
        <v>595</v>
      </c>
      <c r="G149" s="19" t="s">
        <v>596</v>
      </c>
      <c r="H149" s="19"/>
      <c r="I149" s="22" t="s">
        <v>38</v>
      </c>
      <c r="J149" s="20">
        <v>3</v>
      </c>
      <c r="K149" s="20">
        <v>241</v>
      </c>
      <c r="L149" s="35">
        <f>WorkmanshipResultsTable[[#This Row],[Number of Failed Units]]/WorkmanshipResultsTable[[#This Row],[Total Units Built]]</f>
        <v>1.2448132780082987E-2</v>
      </c>
      <c r="M149" s="25">
        <v>45396</v>
      </c>
      <c r="N149" s="19" t="s">
        <v>47</v>
      </c>
      <c r="O149" s="19" t="s">
        <v>162</v>
      </c>
      <c r="P149" s="20"/>
      <c r="Q149" s="19"/>
      <c r="R149" s="19"/>
      <c r="S149" s="19"/>
      <c r="T149" s="19"/>
      <c r="U149" s="21"/>
    </row>
    <row r="150" spans="1:21" ht="60.75">
      <c r="A150" s="19" t="s">
        <v>21</v>
      </c>
      <c r="B150" s="19" t="s">
        <v>202</v>
      </c>
      <c r="C150" s="19" t="s">
        <v>33</v>
      </c>
      <c r="D150" s="19" t="s">
        <v>64</v>
      </c>
      <c r="E150" s="19"/>
      <c r="F150" s="19" t="s">
        <v>597</v>
      </c>
      <c r="G150" s="19" t="s">
        <v>204</v>
      </c>
      <c r="H150" s="19" t="s">
        <v>205</v>
      </c>
      <c r="I150" s="19" t="s">
        <v>46</v>
      </c>
      <c r="J150" s="20">
        <v>3</v>
      </c>
      <c r="K150" s="20">
        <v>239</v>
      </c>
      <c r="L150" s="33">
        <f>WorkmanshipResultsTable[[#This Row],[Number of Failed Units]]/WorkmanshipResultsTable[[#This Row],[Total Units Built]]</f>
        <v>1.2552301255230125E-2</v>
      </c>
      <c r="M150" s="25">
        <v>45485</v>
      </c>
      <c r="N150" s="19" t="s">
        <v>47</v>
      </c>
      <c r="O150" s="19" t="s">
        <v>48</v>
      </c>
      <c r="P150" s="20"/>
      <c r="Q150" s="19"/>
      <c r="R150" s="19"/>
      <c r="S150" s="19"/>
      <c r="T150" s="19"/>
      <c r="U150" s="21"/>
    </row>
    <row r="151" spans="1:21" ht="60.75">
      <c r="A151" s="19" t="s">
        <v>21</v>
      </c>
      <c r="B151" s="19" t="s">
        <v>63</v>
      </c>
      <c r="C151" s="19" t="s">
        <v>33</v>
      </c>
      <c r="D151" s="19" t="s">
        <v>52</v>
      </c>
      <c r="E151" s="19"/>
      <c r="F151" s="19" t="s">
        <v>598</v>
      </c>
      <c r="G151" s="19" t="s">
        <v>599</v>
      </c>
      <c r="H151" s="19" t="s">
        <v>600</v>
      </c>
      <c r="I151" s="19" t="s">
        <v>46</v>
      </c>
      <c r="J151" s="20">
        <v>10</v>
      </c>
      <c r="K151" s="20">
        <v>790</v>
      </c>
      <c r="L151" s="33">
        <f>WorkmanshipResultsTable[[#This Row],[Number of Failed Units]]/WorkmanshipResultsTable[[#This Row],[Total Units Built]]</f>
        <v>1.2658227848101266E-2</v>
      </c>
      <c r="M151" s="25">
        <v>45419</v>
      </c>
      <c r="N151" s="19" t="s">
        <v>47</v>
      </c>
      <c r="O151" s="19" t="s">
        <v>48</v>
      </c>
      <c r="P151" s="20"/>
      <c r="Q151" s="19"/>
      <c r="R151" s="19"/>
      <c r="S151" s="19"/>
      <c r="T151" s="19"/>
      <c r="U151" s="21"/>
    </row>
    <row r="152" spans="1:21" ht="45.75">
      <c r="A152" s="19" t="s">
        <v>21</v>
      </c>
      <c r="B152" s="19" t="s">
        <v>331</v>
      </c>
      <c r="C152" s="19" t="s">
        <v>33</v>
      </c>
      <c r="D152" s="19" t="s">
        <v>601</v>
      </c>
      <c r="E152" s="19" t="s">
        <v>602</v>
      </c>
      <c r="F152" s="19" t="s">
        <v>603</v>
      </c>
      <c r="G152" s="19" t="s">
        <v>604</v>
      </c>
      <c r="H152" s="19" t="s">
        <v>605</v>
      </c>
      <c r="I152" s="19" t="s">
        <v>46</v>
      </c>
      <c r="J152" s="20">
        <v>1</v>
      </c>
      <c r="K152" s="20">
        <v>79</v>
      </c>
      <c r="L152" s="35">
        <f>WorkmanshipResultsTable[[#This Row],[Number of Failed Units]]/WorkmanshipResultsTable[[#This Row],[Total Units Built]]</f>
        <v>1.2658227848101266E-2</v>
      </c>
      <c r="M152" s="25">
        <v>45724</v>
      </c>
      <c r="N152" s="21" t="s">
        <v>29</v>
      </c>
      <c r="O152" s="19" t="s">
        <v>90</v>
      </c>
      <c r="P152" s="20" t="s">
        <v>606</v>
      </c>
      <c r="Q152" s="19"/>
      <c r="R152" s="19"/>
      <c r="S152" s="19"/>
      <c r="T152" s="19"/>
      <c r="U152" s="21"/>
    </row>
    <row r="153" spans="1:21" ht="30.75">
      <c r="A153" s="19" t="s">
        <v>157</v>
      </c>
      <c r="B153" s="19" t="s">
        <v>41</v>
      </c>
      <c r="C153" s="19" t="s">
        <v>23</v>
      </c>
      <c r="D153" s="19" t="s">
        <v>607</v>
      </c>
      <c r="E153" s="39" t="s">
        <v>608</v>
      </c>
      <c r="F153" s="19"/>
      <c r="G153" s="30" t="s">
        <v>609</v>
      </c>
      <c r="H153" s="19" t="s">
        <v>610</v>
      </c>
      <c r="I153" s="19" t="s">
        <v>130</v>
      </c>
      <c r="J153" s="20">
        <v>1</v>
      </c>
      <c r="K153" s="20">
        <v>79</v>
      </c>
      <c r="L153" s="35">
        <f>WorkmanshipResultsTable[[#This Row],[Number of Failed Units]]/WorkmanshipResultsTable[[#This Row],[Total Units Built]]</f>
        <v>1.2658227848101266E-2</v>
      </c>
      <c r="M153" s="25">
        <v>45326</v>
      </c>
      <c r="N153" s="19" t="s">
        <v>47</v>
      </c>
      <c r="O153" s="19" t="s">
        <v>131</v>
      </c>
      <c r="P153" s="20"/>
      <c r="Q153" s="19"/>
      <c r="R153" s="19"/>
      <c r="S153" s="19"/>
      <c r="T153" s="19"/>
      <c r="U153" s="39" t="s">
        <v>79</v>
      </c>
    </row>
    <row r="154" spans="1:21" ht="106.5">
      <c r="A154" s="19" t="s">
        <v>21</v>
      </c>
      <c r="B154" s="19" t="s">
        <v>41</v>
      </c>
      <c r="C154" s="19" t="s">
        <v>33</v>
      </c>
      <c r="D154" s="19" t="s">
        <v>52</v>
      </c>
      <c r="E154" s="19"/>
      <c r="F154" s="19" t="s">
        <v>611</v>
      </c>
      <c r="G154" s="19" t="s">
        <v>612</v>
      </c>
      <c r="H154" s="19" t="s">
        <v>613</v>
      </c>
      <c r="I154" s="19" t="s">
        <v>46</v>
      </c>
      <c r="J154" s="20">
        <v>4</v>
      </c>
      <c r="K154" s="20">
        <v>311</v>
      </c>
      <c r="L154" s="33">
        <f>WorkmanshipResultsTable[[#This Row],[Number of Failed Units]]/WorkmanshipResultsTable[[#This Row],[Total Units Built]]</f>
        <v>1.2861736334405145E-2</v>
      </c>
      <c r="M154" s="25">
        <v>46115</v>
      </c>
      <c r="N154" s="19" t="s">
        <v>47</v>
      </c>
      <c r="O154" s="19" t="s">
        <v>48</v>
      </c>
      <c r="P154" s="20"/>
      <c r="Q154" s="19"/>
      <c r="R154" s="19"/>
      <c r="S154" s="19"/>
      <c r="T154" s="19"/>
      <c r="U154" s="21"/>
    </row>
    <row r="155" spans="1:21" ht="76.5">
      <c r="A155" s="19" t="s">
        <v>21</v>
      </c>
      <c r="B155" s="19" t="s">
        <v>41</v>
      </c>
      <c r="C155" s="19" t="s">
        <v>33</v>
      </c>
      <c r="D155" s="19" t="s">
        <v>64</v>
      </c>
      <c r="E155" s="19"/>
      <c r="F155" s="19" t="s">
        <v>614</v>
      </c>
      <c r="G155" s="19" t="s">
        <v>615</v>
      </c>
      <c r="H155" s="19" t="s">
        <v>616</v>
      </c>
      <c r="I155" s="19" t="s">
        <v>46</v>
      </c>
      <c r="J155" s="20">
        <v>5</v>
      </c>
      <c r="K155" s="20">
        <v>386</v>
      </c>
      <c r="L155" s="33">
        <f>WorkmanshipResultsTable[[#This Row],[Number of Failed Units]]/WorkmanshipResultsTable[[#This Row],[Total Units Built]]</f>
        <v>1.2953367875647668E-2</v>
      </c>
      <c r="M155" s="25">
        <v>45664</v>
      </c>
      <c r="N155" s="19" t="s">
        <v>47</v>
      </c>
      <c r="O155" s="19" t="s">
        <v>48</v>
      </c>
      <c r="P155" s="20"/>
      <c r="Q155" s="19"/>
      <c r="R155" s="19"/>
      <c r="S155" s="19"/>
      <c r="T155" s="19"/>
      <c r="U155" s="21"/>
    </row>
    <row r="156" spans="1:21" ht="45.75">
      <c r="A156" s="19" t="s">
        <v>21</v>
      </c>
      <c r="B156" s="19" t="s">
        <v>92</v>
      </c>
      <c r="C156" s="19" t="s">
        <v>33</v>
      </c>
      <c r="D156" s="19" t="s">
        <v>64</v>
      </c>
      <c r="E156" s="19"/>
      <c r="F156" s="19" t="s">
        <v>617</v>
      </c>
      <c r="G156" s="19" t="s">
        <v>94</v>
      </c>
      <c r="H156" s="19" t="s">
        <v>95</v>
      </c>
      <c r="I156" s="19" t="s">
        <v>46</v>
      </c>
      <c r="J156" s="20">
        <v>7</v>
      </c>
      <c r="K156" s="20">
        <v>540</v>
      </c>
      <c r="L156" s="33">
        <f>WorkmanshipResultsTable[[#This Row],[Number of Failed Units]]/WorkmanshipResultsTable[[#This Row],[Total Units Built]]</f>
        <v>1.2962962962962963E-2</v>
      </c>
      <c r="M156" s="25">
        <v>45352</v>
      </c>
      <c r="N156" s="19" t="s">
        <v>47</v>
      </c>
      <c r="O156" s="19" t="s">
        <v>48</v>
      </c>
      <c r="P156" s="20"/>
      <c r="Q156" s="19"/>
      <c r="R156" s="19"/>
      <c r="S156" s="19"/>
      <c r="T156" s="19"/>
      <c r="U156" s="21"/>
    </row>
    <row r="157" spans="1:21" ht="30.75">
      <c r="A157" s="19" t="s">
        <v>425</v>
      </c>
      <c r="B157" s="19" t="s">
        <v>41</v>
      </c>
      <c r="C157" s="19" t="s">
        <v>23</v>
      </c>
      <c r="D157" s="19" t="s">
        <v>618</v>
      </c>
      <c r="E157" s="19"/>
      <c r="F157" s="19"/>
      <c r="G157" s="19" t="s">
        <v>619</v>
      </c>
      <c r="H157" s="19" t="s">
        <v>620</v>
      </c>
      <c r="I157" s="19" t="s">
        <v>130</v>
      </c>
      <c r="J157" s="20">
        <v>1</v>
      </c>
      <c r="K157" s="20">
        <v>76</v>
      </c>
      <c r="L157" s="35">
        <f>WorkmanshipResultsTable[[#This Row],[Number of Failed Units]]/WorkmanshipResultsTable[[#This Row],[Total Units Built]]</f>
        <v>1.3157894736842105E-2</v>
      </c>
      <c r="M157" s="25">
        <v>46180</v>
      </c>
      <c r="N157" s="19" t="s">
        <v>47</v>
      </c>
      <c r="O157" s="19" t="s">
        <v>131</v>
      </c>
      <c r="P157" s="20"/>
      <c r="Q157" s="19"/>
      <c r="R157" s="19" t="s">
        <v>429</v>
      </c>
      <c r="S157" s="19"/>
      <c r="T157" s="19"/>
      <c r="U157" s="39" t="s">
        <v>119</v>
      </c>
    </row>
    <row r="158" spans="1:21" ht="76.5">
      <c r="A158" s="19" t="s">
        <v>444</v>
      </c>
      <c r="B158" s="19" t="s">
        <v>41</v>
      </c>
      <c r="C158" s="19" t="s">
        <v>23</v>
      </c>
      <c r="D158" s="19" t="s">
        <v>158</v>
      </c>
      <c r="E158" s="19" t="s">
        <v>159</v>
      </c>
      <c r="F158" s="19" t="s">
        <v>621</v>
      </c>
      <c r="G158" s="19" t="s">
        <v>622</v>
      </c>
      <c r="H158" s="19"/>
      <c r="I158" s="22" t="s">
        <v>38</v>
      </c>
      <c r="J158" s="20">
        <v>5</v>
      </c>
      <c r="K158" s="20">
        <v>377</v>
      </c>
      <c r="L158" s="35">
        <f>WorkmanshipResultsTable[[#This Row],[Number of Failed Units]]/WorkmanshipResultsTable[[#This Row],[Total Units Built]]</f>
        <v>1.3262599469496022E-2</v>
      </c>
      <c r="M158" s="25">
        <v>45417</v>
      </c>
      <c r="N158" s="19" t="s">
        <v>47</v>
      </c>
      <c r="O158" s="19" t="s">
        <v>162</v>
      </c>
      <c r="P158" s="20"/>
      <c r="Q158" s="19"/>
      <c r="R158" s="19"/>
      <c r="S158" s="19"/>
      <c r="T158" s="19"/>
      <c r="U158" s="21"/>
    </row>
    <row r="159" spans="1:21" ht="45.75">
      <c r="A159" s="19" t="s">
        <v>21</v>
      </c>
      <c r="B159" s="19" t="s">
        <v>41</v>
      </c>
      <c r="C159" s="19" t="s">
        <v>33</v>
      </c>
      <c r="D159" s="19" t="s">
        <v>623</v>
      </c>
      <c r="E159" s="19"/>
      <c r="F159" s="19" t="s">
        <v>624</v>
      </c>
      <c r="G159" s="19" t="s">
        <v>625</v>
      </c>
      <c r="H159" s="19" t="s">
        <v>626</v>
      </c>
      <c r="I159" s="19" t="s">
        <v>46</v>
      </c>
      <c r="J159" s="20">
        <v>1</v>
      </c>
      <c r="K159" s="20">
        <v>74</v>
      </c>
      <c r="L159" s="33">
        <f>WorkmanshipResultsTable[[#This Row],[Number of Failed Units]]/WorkmanshipResultsTable[[#This Row],[Total Units Built]]</f>
        <v>1.3513513513513514E-2</v>
      </c>
      <c r="M159" s="25">
        <v>45827</v>
      </c>
      <c r="N159" s="19" t="s">
        <v>47</v>
      </c>
      <c r="O159" s="19" t="s">
        <v>48</v>
      </c>
      <c r="P159" s="20"/>
      <c r="Q159" s="19"/>
      <c r="R159" s="19"/>
      <c r="S159" s="19"/>
      <c r="T159" s="19"/>
      <c r="U159" s="21"/>
    </row>
    <row r="160" spans="1:21" ht="30.75">
      <c r="A160" s="19" t="s">
        <v>113</v>
      </c>
      <c r="B160" s="19" t="s">
        <v>163</v>
      </c>
      <c r="C160" s="19" t="s">
        <v>23</v>
      </c>
      <c r="D160" s="19" t="s">
        <v>125</v>
      </c>
      <c r="E160" s="19" t="s">
        <v>234</v>
      </c>
      <c r="F160" s="19" t="s">
        <v>627</v>
      </c>
      <c r="G160" s="19" t="s">
        <v>628</v>
      </c>
      <c r="H160" s="19" t="s">
        <v>274</v>
      </c>
      <c r="I160" s="19" t="s">
        <v>130</v>
      </c>
      <c r="J160" s="20">
        <v>2</v>
      </c>
      <c r="K160" s="20">
        <v>147</v>
      </c>
      <c r="L160" s="35">
        <f>WorkmanshipResultsTable[[#This Row],[Number of Failed Units]]/WorkmanshipResultsTable[[#This Row],[Total Units Built]]</f>
        <v>1.3605442176870748E-2</v>
      </c>
      <c r="M160" s="26">
        <v>46051</v>
      </c>
      <c r="N160" s="19" t="s">
        <v>47</v>
      </c>
      <c r="O160" s="19" t="s">
        <v>131</v>
      </c>
      <c r="P160" s="20"/>
      <c r="Q160" s="19"/>
      <c r="R160" s="19"/>
      <c r="S160" s="19"/>
      <c r="T160" s="19"/>
      <c r="U160" s="39" t="s">
        <v>79</v>
      </c>
    </row>
    <row r="161" spans="1:21" ht="30.75">
      <c r="A161" s="19" t="s">
        <v>113</v>
      </c>
      <c r="B161" s="19" t="s">
        <v>92</v>
      </c>
      <c r="C161" s="19" t="s">
        <v>33</v>
      </c>
      <c r="D161" s="19" t="s">
        <v>346</v>
      </c>
      <c r="E161" s="19"/>
      <c r="F161" s="19" t="s">
        <v>629</v>
      </c>
      <c r="G161" s="19" t="s">
        <v>405</v>
      </c>
      <c r="H161" s="19" t="s">
        <v>349</v>
      </c>
      <c r="I161" s="19" t="s">
        <v>77</v>
      </c>
      <c r="J161" s="20">
        <v>1</v>
      </c>
      <c r="K161" s="20">
        <v>72</v>
      </c>
      <c r="L161" s="33">
        <f>WorkmanshipResultsTable[[#This Row],[Number of Failed Units]]/WorkmanshipResultsTable[[#This Row],[Total Units Built]]</f>
        <v>1.3888888888888888E-2</v>
      </c>
      <c r="M161" s="20" t="s">
        <v>630</v>
      </c>
      <c r="N161" s="21" t="s">
        <v>47</v>
      </c>
      <c r="O161" s="19" t="s">
        <v>118</v>
      </c>
      <c r="P161" s="20"/>
      <c r="Q161" s="19"/>
      <c r="R161" s="19"/>
      <c r="S161" s="19"/>
      <c r="T161" s="19"/>
      <c r="U161" s="21" t="s">
        <v>119</v>
      </c>
    </row>
    <row r="162" spans="1:21" ht="259.5">
      <c r="A162" s="19" t="s">
        <v>21</v>
      </c>
      <c r="B162" s="19" t="s">
        <v>73</v>
      </c>
      <c r="C162" s="19" t="s">
        <v>33</v>
      </c>
      <c r="D162" s="19" t="s">
        <v>582</v>
      </c>
      <c r="E162" s="19"/>
      <c r="F162" s="19" t="s">
        <v>631</v>
      </c>
      <c r="G162" s="19" t="s">
        <v>632</v>
      </c>
      <c r="H162" s="19" t="s">
        <v>633</v>
      </c>
      <c r="I162" s="19" t="s">
        <v>46</v>
      </c>
      <c r="J162" s="20">
        <v>1</v>
      </c>
      <c r="K162" s="20">
        <v>72</v>
      </c>
      <c r="L162" s="33">
        <f>WorkmanshipResultsTable[[#This Row],[Number of Failed Units]]/WorkmanshipResultsTable[[#This Row],[Total Units Built]]</f>
        <v>1.3888888888888888E-2</v>
      </c>
      <c r="M162" s="25">
        <v>45537</v>
      </c>
      <c r="N162" s="19" t="s">
        <v>47</v>
      </c>
      <c r="O162" s="19" t="s">
        <v>48</v>
      </c>
      <c r="P162" s="20"/>
      <c r="Q162" s="19"/>
      <c r="R162" s="19"/>
      <c r="S162" s="19"/>
      <c r="T162" s="19"/>
      <c r="U162" s="21"/>
    </row>
    <row r="163" spans="1:21" ht="76.5">
      <c r="A163" s="19" t="s">
        <v>21</v>
      </c>
      <c r="B163" s="19" t="s">
        <v>41</v>
      </c>
      <c r="C163" s="19" t="s">
        <v>33</v>
      </c>
      <c r="D163" s="19" t="s">
        <v>410</v>
      </c>
      <c r="E163" s="19"/>
      <c r="F163" s="19" t="s">
        <v>634</v>
      </c>
      <c r="G163" s="19" t="s">
        <v>71</v>
      </c>
      <c r="H163" s="19" t="s">
        <v>635</v>
      </c>
      <c r="I163" s="19" t="s">
        <v>46</v>
      </c>
      <c r="J163" s="20">
        <v>4</v>
      </c>
      <c r="K163" s="20">
        <v>281</v>
      </c>
      <c r="L163" s="33">
        <f>WorkmanshipResultsTable[[#This Row],[Number of Failed Units]]/WorkmanshipResultsTable[[#This Row],[Total Units Built]]</f>
        <v>1.4234875444839857E-2</v>
      </c>
      <c r="M163" s="25">
        <v>45681</v>
      </c>
      <c r="N163" s="19" t="s">
        <v>47</v>
      </c>
      <c r="O163" s="19" t="s">
        <v>48</v>
      </c>
      <c r="P163" s="20"/>
      <c r="Q163" s="19"/>
      <c r="R163" s="19"/>
      <c r="S163" s="19"/>
      <c r="T163" s="19"/>
      <c r="U163" s="21"/>
    </row>
    <row r="164" spans="1:21" ht="76.5">
      <c r="A164" s="19" t="s">
        <v>191</v>
      </c>
      <c r="B164" s="19" t="s">
        <v>73</v>
      </c>
      <c r="C164" s="19" t="s">
        <v>23</v>
      </c>
      <c r="D164" s="19" t="s">
        <v>307</v>
      </c>
      <c r="E164" s="19" t="s">
        <v>636</v>
      </c>
      <c r="F164" s="19"/>
      <c r="G164" s="19" t="s">
        <v>551</v>
      </c>
      <c r="H164" s="19" t="s">
        <v>317</v>
      </c>
      <c r="I164" s="19" t="s">
        <v>140</v>
      </c>
      <c r="J164" s="23">
        <v>2</v>
      </c>
      <c r="K164" s="23">
        <v>137</v>
      </c>
      <c r="L164" s="33">
        <f>IF(OR(J164="",K164="",K164=0),"",J164/K164)</f>
        <v>1.4598540145985401E-2</v>
      </c>
      <c r="M164" s="24" t="s">
        <v>311</v>
      </c>
      <c r="N164" s="19" t="s">
        <v>47</v>
      </c>
      <c r="O164" s="19" t="s">
        <v>637</v>
      </c>
      <c r="P164" s="20"/>
      <c r="Q164" s="19" t="s">
        <v>638</v>
      </c>
      <c r="R164" s="19" t="s">
        <v>639</v>
      </c>
      <c r="S164" s="19" t="s">
        <v>189</v>
      </c>
      <c r="T164" s="19" t="s">
        <v>315</v>
      </c>
      <c r="U164" s="21" t="s">
        <v>119</v>
      </c>
    </row>
    <row r="165" spans="1:21" ht="76.5">
      <c r="A165" s="19" t="s">
        <v>191</v>
      </c>
      <c r="B165" s="19" t="s">
        <v>73</v>
      </c>
      <c r="C165" s="19" t="s">
        <v>23</v>
      </c>
      <c r="D165" s="19" t="s">
        <v>307</v>
      </c>
      <c r="E165" s="19" t="s">
        <v>636</v>
      </c>
      <c r="F165" s="19"/>
      <c r="G165" s="19" t="s">
        <v>309</v>
      </c>
      <c r="H165" s="19" t="s">
        <v>640</v>
      </c>
      <c r="I165" s="19" t="s">
        <v>140</v>
      </c>
      <c r="J165" s="23">
        <v>2</v>
      </c>
      <c r="K165" s="23">
        <v>137</v>
      </c>
      <c r="L165" s="33">
        <f>IF(OR(J165="",K165="",K165=0),"",J165/K165)</f>
        <v>1.4598540145985401E-2</v>
      </c>
      <c r="M165" s="24" t="s">
        <v>311</v>
      </c>
      <c r="N165" s="19" t="s">
        <v>47</v>
      </c>
      <c r="O165" s="19" t="s">
        <v>641</v>
      </c>
      <c r="P165" s="20"/>
      <c r="Q165" s="19" t="s">
        <v>642</v>
      </c>
      <c r="R165" s="19" t="s">
        <v>643</v>
      </c>
      <c r="S165" s="19" t="s">
        <v>189</v>
      </c>
      <c r="T165" s="19" t="s">
        <v>315</v>
      </c>
      <c r="U165" s="21" t="s">
        <v>119</v>
      </c>
    </row>
    <row r="166" spans="1:21" ht="30.75">
      <c r="A166" s="19" t="s">
        <v>21</v>
      </c>
      <c r="B166" s="19" t="s">
        <v>41</v>
      </c>
      <c r="C166" s="19" t="s">
        <v>33</v>
      </c>
      <c r="D166" s="19" t="s">
        <v>64</v>
      </c>
      <c r="E166" s="19"/>
      <c r="F166" s="19" t="s">
        <v>644</v>
      </c>
      <c r="G166" s="19" t="s">
        <v>645</v>
      </c>
      <c r="H166" s="19" t="s">
        <v>646</v>
      </c>
      <c r="I166" s="19" t="s">
        <v>46</v>
      </c>
      <c r="J166" s="20">
        <v>11</v>
      </c>
      <c r="K166" s="20">
        <v>750</v>
      </c>
      <c r="L166" s="33">
        <f>WorkmanshipResultsTable[[#This Row],[Number of Failed Units]]/WorkmanshipResultsTable[[#This Row],[Total Units Built]]</f>
        <v>1.4666666666666666E-2</v>
      </c>
      <c r="M166" s="25">
        <v>45744</v>
      </c>
      <c r="N166" s="19" t="s">
        <v>47</v>
      </c>
      <c r="O166" s="19" t="s">
        <v>48</v>
      </c>
      <c r="P166" s="20"/>
      <c r="Q166" s="19"/>
      <c r="R166" s="19"/>
      <c r="S166" s="19"/>
      <c r="T166" s="19"/>
      <c r="U166" s="21"/>
    </row>
    <row r="167" spans="1:21" ht="45.75">
      <c r="A167" s="19" t="s">
        <v>444</v>
      </c>
      <c r="B167" s="19" t="s">
        <v>41</v>
      </c>
      <c r="C167" s="19" t="s">
        <v>23</v>
      </c>
      <c r="D167" s="19" t="s">
        <v>158</v>
      </c>
      <c r="E167" s="19" t="s">
        <v>159</v>
      </c>
      <c r="F167" s="19" t="s">
        <v>647</v>
      </c>
      <c r="G167" s="19" t="s">
        <v>648</v>
      </c>
      <c r="H167" s="19" t="s">
        <v>649</v>
      </c>
      <c r="I167" s="22" t="s">
        <v>38</v>
      </c>
      <c r="J167" s="20">
        <v>3</v>
      </c>
      <c r="K167" s="20">
        <v>200</v>
      </c>
      <c r="L167" s="35">
        <f>WorkmanshipResultsTable[[#This Row],[Number of Failed Units]]/WorkmanshipResultsTable[[#This Row],[Total Units Built]]</f>
        <v>1.4999999999999999E-2</v>
      </c>
      <c r="M167" s="25">
        <v>45368</v>
      </c>
      <c r="N167" s="19" t="s">
        <v>47</v>
      </c>
      <c r="O167" s="19" t="s">
        <v>162</v>
      </c>
      <c r="P167" s="20"/>
      <c r="Q167" s="19"/>
      <c r="R167" s="19"/>
      <c r="S167" s="19"/>
      <c r="T167" s="19"/>
      <c r="U167" s="21"/>
    </row>
    <row r="168" spans="1:21" ht="30.75">
      <c r="A168" s="19" t="s">
        <v>21</v>
      </c>
      <c r="B168" s="19" t="s">
        <v>41</v>
      </c>
      <c r="C168" s="19" t="s">
        <v>33</v>
      </c>
      <c r="D168" s="19" t="s">
        <v>52</v>
      </c>
      <c r="E168" s="19"/>
      <c r="F168" s="19" t="s">
        <v>650</v>
      </c>
      <c r="G168" s="19" t="s">
        <v>651</v>
      </c>
      <c r="H168" s="19" t="s">
        <v>652</v>
      </c>
      <c r="I168" s="19" t="s">
        <v>46</v>
      </c>
      <c r="J168" s="20">
        <v>9</v>
      </c>
      <c r="K168" s="20">
        <v>596</v>
      </c>
      <c r="L168" s="33">
        <f>WorkmanshipResultsTable[[#This Row],[Number of Failed Units]]/WorkmanshipResultsTable[[#This Row],[Total Units Built]]</f>
        <v>1.5100671140939598E-2</v>
      </c>
      <c r="M168" s="25">
        <v>45925</v>
      </c>
      <c r="N168" s="19" t="s">
        <v>47</v>
      </c>
      <c r="O168" s="19" t="s">
        <v>48</v>
      </c>
      <c r="P168" s="20"/>
      <c r="Q168" s="19"/>
      <c r="R168" s="19"/>
      <c r="S168" s="19"/>
      <c r="T168" s="19"/>
      <c r="U168" s="21" t="s">
        <v>341</v>
      </c>
    </row>
    <row r="169" spans="1:21" ht="45.75">
      <c r="A169" s="19" t="s">
        <v>113</v>
      </c>
      <c r="B169" s="19" t="s">
        <v>163</v>
      </c>
      <c r="C169" s="19" t="s">
        <v>23</v>
      </c>
      <c r="D169" s="19" t="s">
        <v>653</v>
      </c>
      <c r="E169" s="19" t="s">
        <v>654</v>
      </c>
      <c r="F169" s="19" t="s">
        <v>655</v>
      </c>
      <c r="G169" s="19" t="s">
        <v>656</v>
      </c>
      <c r="H169" s="19" t="s">
        <v>274</v>
      </c>
      <c r="I169" s="19" t="s">
        <v>130</v>
      </c>
      <c r="J169" s="20">
        <v>1</v>
      </c>
      <c r="K169" s="20">
        <v>66</v>
      </c>
      <c r="L169" s="35">
        <f>WorkmanshipResultsTable[[#This Row],[Number of Failed Units]]/WorkmanshipResultsTable[[#This Row],[Total Units Built]]</f>
        <v>1.5151515151515152E-2</v>
      </c>
      <c r="M169" s="26">
        <v>46036</v>
      </c>
      <c r="N169" s="19" t="s">
        <v>47</v>
      </c>
      <c r="O169" s="19" t="s">
        <v>131</v>
      </c>
      <c r="P169" s="20"/>
      <c r="Q169" s="19"/>
      <c r="R169" s="19"/>
      <c r="S169" s="19"/>
      <c r="T169" s="19"/>
      <c r="U169" s="39" t="s">
        <v>79</v>
      </c>
    </row>
    <row r="170" spans="1:21" ht="45.75">
      <c r="A170" s="19" t="s">
        <v>425</v>
      </c>
      <c r="B170" s="19" t="s">
        <v>41</v>
      </c>
      <c r="C170" s="19" t="s">
        <v>23</v>
      </c>
      <c r="D170" s="19" t="s">
        <v>657</v>
      </c>
      <c r="E170" s="19" t="s">
        <v>658</v>
      </c>
      <c r="F170" s="19"/>
      <c r="G170" s="19" t="s">
        <v>659</v>
      </c>
      <c r="H170" s="19" t="s">
        <v>620</v>
      </c>
      <c r="I170" s="19" t="s">
        <v>130</v>
      </c>
      <c r="J170" s="20">
        <v>1</v>
      </c>
      <c r="K170" s="20">
        <v>65</v>
      </c>
      <c r="L170" s="35">
        <f>WorkmanshipResultsTable[[#This Row],[Number of Failed Units]]/WorkmanshipResultsTable[[#This Row],[Total Units Built]]</f>
        <v>1.5384615384615385E-2</v>
      </c>
      <c r="M170" s="25">
        <v>46180</v>
      </c>
      <c r="N170" s="19" t="s">
        <v>47</v>
      </c>
      <c r="O170" s="19" t="s">
        <v>131</v>
      </c>
      <c r="P170" s="20"/>
      <c r="Q170" s="19"/>
      <c r="R170" s="19" t="s">
        <v>429</v>
      </c>
      <c r="S170" s="19"/>
      <c r="T170" s="19"/>
      <c r="U170" s="39" t="s">
        <v>119</v>
      </c>
    </row>
    <row r="171" spans="1:21" ht="30.75">
      <c r="A171" s="19" t="s">
        <v>21</v>
      </c>
      <c r="B171" s="19" t="s">
        <v>63</v>
      </c>
      <c r="C171" s="19" t="s">
        <v>33</v>
      </c>
      <c r="D171" s="19" t="s">
        <v>502</v>
      </c>
      <c r="E171" s="19"/>
      <c r="F171" s="19" t="s">
        <v>660</v>
      </c>
      <c r="G171" s="19" t="s">
        <v>288</v>
      </c>
      <c r="H171" s="19" t="s">
        <v>51</v>
      </c>
      <c r="I171" s="19" t="s">
        <v>46</v>
      </c>
      <c r="J171" s="20">
        <v>4</v>
      </c>
      <c r="K171" s="20">
        <v>254</v>
      </c>
      <c r="L171" s="33">
        <f>WorkmanshipResultsTable[[#This Row],[Number of Failed Units]]/WorkmanshipResultsTable[[#This Row],[Total Units Built]]</f>
        <v>1.5748031496062992E-2</v>
      </c>
      <c r="M171" s="25">
        <v>45415</v>
      </c>
      <c r="N171" s="19" t="s">
        <v>47</v>
      </c>
      <c r="O171" s="19" t="s">
        <v>48</v>
      </c>
      <c r="P171" s="20"/>
      <c r="Q171" s="19"/>
      <c r="R171" s="19"/>
      <c r="S171" s="19"/>
      <c r="T171" s="19"/>
      <c r="U171" s="21"/>
    </row>
    <row r="172" spans="1:21" ht="45.75">
      <c r="A172" s="19" t="s">
        <v>21</v>
      </c>
      <c r="B172" s="19" t="s">
        <v>92</v>
      </c>
      <c r="C172" s="19" t="s">
        <v>33</v>
      </c>
      <c r="D172" s="19" t="s">
        <v>64</v>
      </c>
      <c r="E172" s="19"/>
      <c r="F172" s="19" t="s">
        <v>661</v>
      </c>
      <c r="G172" s="19" t="s">
        <v>530</v>
      </c>
      <c r="H172" s="19" t="s">
        <v>297</v>
      </c>
      <c r="I172" s="19" t="s">
        <v>46</v>
      </c>
      <c r="J172" s="20">
        <v>9</v>
      </c>
      <c r="K172" s="20">
        <v>569</v>
      </c>
      <c r="L172" s="33">
        <f>WorkmanshipResultsTable[[#This Row],[Number of Failed Units]]/WorkmanshipResultsTable[[#This Row],[Total Units Built]]</f>
        <v>1.5817223198594025E-2</v>
      </c>
      <c r="M172" s="25">
        <v>45338</v>
      </c>
      <c r="N172" s="19" t="s">
        <v>47</v>
      </c>
      <c r="O172" s="19" t="s">
        <v>48</v>
      </c>
      <c r="P172" s="20"/>
      <c r="Q172" s="19"/>
      <c r="R172" s="19"/>
      <c r="S172" s="19"/>
      <c r="T172" s="19"/>
      <c r="U172" s="21"/>
    </row>
    <row r="173" spans="1:21" ht="45.75">
      <c r="A173" s="19" t="s">
        <v>662</v>
      </c>
      <c r="B173" s="19" t="s">
        <v>41</v>
      </c>
      <c r="C173" s="19" t="s">
        <v>33</v>
      </c>
      <c r="D173" s="19" t="s">
        <v>663</v>
      </c>
      <c r="E173" s="19" t="s">
        <v>664</v>
      </c>
      <c r="F173" s="19" t="s">
        <v>665</v>
      </c>
      <c r="G173" s="19" t="s">
        <v>666</v>
      </c>
      <c r="H173" s="19" t="s">
        <v>473</v>
      </c>
      <c r="I173" s="19" t="s">
        <v>130</v>
      </c>
      <c r="J173" s="20">
        <v>1</v>
      </c>
      <c r="K173" s="20">
        <v>63</v>
      </c>
      <c r="L173" s="35">
        <f>WorkmanshipResultsTable[[#This Row],[Number of Failed Units]]/WorkmanshipResultsTable[[#This Row],[Total Units Built]]</f>
        <v>1.5873015873015872E-2</v>
      </c>
      <c r="M173" s="26">
        <v>45973</v>
      </c>
      <c r="N173" s="19" t="s">
        <v>47</v>
      </c>
      <c r="O173" s="19" t="s">
        <v>131</v>
      </c>
      <c r="P173" s="20"/>
      <c r="Q173" s="19"/>
      <c r="R173" s="19"/>
      <c r="S173" s="19"/>
      <c r="T173" s="19"/>
      <c r="U173" s="39" t="s">
        <v>79</v>
      </c>
    </row>
    <row r="174" spans="1:21">
      <c r="A174" s="19" t="s">
        <v>21</v>
      </c>
      <c r="B174" s="19" t="s">
        <v>41</v>
      </c>
      <c r="C174" s="19" t="s">
        <v>33</v>
      </c>
      <c r="D174" s="19" t="s">
        <v>667</v>
      </c>
      <c r="E174" s="19"/>
      <c r="F174" s="19" t="s">
        <v>668</v>
      </c>
      <c r="G174" s="19" t="s">
        <v>254</v>
      </c>
      <c r="H174" s="19" t="s">
        <v>145</v>
      </c>
      <c r="I174" s="19" t="s">
        <v>46</v>
      </c>
      <c r="J174" s="20">
        <v>1</v>
      </c>
      <c r="K174" s="20">
        <v>63</v>
      </c>
      <c r="L174" s="33">
        <f>WorkmanshipResultsTable[[#This Row],[Number of Failed Units]]/WorkmanshipResultsTable[[#This Row],[Total Units Built]]</f>
        <v>1.5873015873015872E-2</v>
      </c>
      <c r="M174" s="25">
        <v>45785</v>
      </c>
      <c r="N174" s="19" t="s">
        <v>47</v>
      </c>
      <c r="O174" s="19" t="s">
        <v>48</v>
      </c>
      <c r="P174" s="20"/>
      <c r="Q174" s="19"/>
      <c r="R174" s="19"/>
      <c r="S174" s="19"/>
      <c r="T174" s="19"/>
      <c r="U174" s="21"/>
    </row>
    <row r="175" spans="1:21" ht="76.5">
      <c r="A175" s="19" t="s">
        <v>96</v>
      </c>
      <c r="B175" s="19" t="s">
        <v>73</v>
      </c>
      <c r="C175" s="19" t="s">
        <v>23</v>
      </c>
      <c r="D175" s="19" t="s">
        <v>307</v>
      </c>
      <c r="E175" s="19" t="s">
        <v>308</v>
      </c>
      <c r="F175" s="19"/>
      <c r="G175" s="19" t="s">
        <v>437</v>
      </c>
      <c r="H175" s="19" t="s">
        <v>669</v>
      </c>
      <c r="I175" s="19" t="s">
        <v>140</v>
      </c>
      <c r="J175" s="23">
        <v>2</v>
      </c>
      <c r="K175" s="23">
        <v>125</v>
      </c>
      <c r="L175" s="33">
        <f>IF(OR(J175="",K175="",K175=0),"",J175/K175)</f>
        <v>1.6E-2</v>
      </c>
      <c r="M175" s="24" t="s">
        <v>670</v>
      </c>
      <c r="N175" s="19" t="s">
        <v>47</v>
      </c>
      <c r="O175" s="19" t="s">
        <v>671</v>
      </c>
      <c r="P175" s="20"/>
      <c r="Q175" s="19" t="s">
        <v>672</v>
      </c>
      <c r="R175" s="19" t="s">
        <v>673</v>
      </c>
      <c r="S175" s="19" t="s">
        <v>189</v>
      </c>
      <c r="T175" s="19" t="s">
        <v>674</v>
      </c>
      <c r="U175" s="39" t="s">
        <v>119</v>
      </c>
    </row>
    <row r="176" spans="1:21" ht="76.5">
      <c r="A176" s="19" t="s">
        <v>96</v>
      </c>
      <c r="B176" s="19" t="s">
        <v>73</v>
      </c>
      <c r="C176" s="19" t="s">
        <v>23</v>
      </c>
      <c r="D176" s="19" t="s">
        <v>307</v>
      </c>
      <c r="E176" s="19" t="s">
        <v>308</v>
      </c>
      <c r="F176" s="19"/>
      <c r="G176" s="19" t="s">
        <v>551</v>
      </c>
      <c r="H176" s="19" t="s">
        <v>669</v>
      </c>
      <c r="I176" s="19" t="s">
        <v>140</v>
      </c>
      <c r="J176" s="23">
        <v>2</v>
      </c>
      <c r="K176" s="23">
        <v>125</v>
      </c>
      <c r="L176" s="33">
        <f>IF(OR(J176="",K176="",K176=0),"",J176/K176)</f>
        <v>1.6E-2</v>
      </c>
      <c r="M176" s="24" t="s">
        <v>670</v>
      </c>
      <c r="N176" s="19" t="s">
        <v>47</v>
      </c>
      <c r="O176" s="19" t="s">
        <v>675</v>
      </c>
      <c r="P176" s="20"/>
      <c r="Q176" s="19" t="s">
        <v>676</v>
      </c>
      <c r="R176" s="19" t="s">
        <v>673</v>
      </c>
      <c r="S176" s="19" t="s">
        <v>189</v>
      </c>
      <c r="T176" s="19" t="s">
        <v>674</v>
      </c>
      <c r="U176" s="39" t="s">
        <v>119</v>
      </c>
    </row>
    <row r="177" spans="1:21" ht="152.25">
      <c r="A177" s="19" t="s">
        <v>21</v>
      </c>
      <c r="B177" s="19" t="s">
        <v>63</v>
      </c>
      <c r="C177" s="19" t="s">
        <v>33</v>
      </c>
      <c r="D177" s="19" t="s">
        <v>582</v>
      </c>
      <c r="E177" s="19"/>
      <c r="F177" s="19" t="s">
        <v>677</v>
      </c>
      <c r="G177" s="19" t="s">
        <v>678</v>
      </c>
      <c r="H177" s="19" t="s">
        <v>679</v>
      </c>
      <c r="I177" s="19" t="s">
        <v>46</v>
      </c>
      <c r="J177" s="20">
        <v>1</v>
      </c>
      <c r="K177" s="20">
        <v>61</v>
      </c>
      <c r="L177" s="33">
        <f>WorkmanshipResultsTable[[#This Row],[Number of Failed Units]]/WorkmanshipResultsTable[[#This Row],[Total Units Built]]</f>
        <v>1.6393442622950821E-2</v>
      </c>
      <c r="M177" s="25">
        <v>45460</v>
      </c>
      <c r="N177" s="19" t="s">
        <v>47</v>
      </c>
      <c r="O177" s="19" t="s">
        <v>48</v>
      </c>
      <c r="P177" s="20"/>
      <c r="Q177" s="19"/>
      <c r="R177" s="19"/>
      <c r="S177" s="19"/>
      <c r="T177" s="19"/>
      <c r="U177" s="21"/>
    </row>
    <row r="178" spans="1:21" ht="30.75">
      <c r="A178" s="19" t="s">
        <v>21</v>
      </c>
      <c r="B178" s="19" t="s">
        <v>63</v>
      </c>
      <c r="C178" s="19" t="s">
        <v>33</v>
      </c>
      <c r="D178" s="19" t="s">
        <v>52</v>
      </c>
      <c r="E178" s="19"/>
      <c r="F178" s="19" t="s">
        <v>680</v>
      </c>
      <c r="G178" s="19" t="s">
        <v>458</v>
      </c>
      <c r="H178" s="19" t="s">
        <v>264</v>
      </c>
      <c r="I178" s="19" t="s">
        <v>46</v>
      </c>
      <c r="J178" s="20">
        <v>12</v>
      </c>
      <c r="K178" s="20">
        <v>727</v>
      </c>
      <c r="L178" s="33">
        <f>WorkmanshipResultsTable[[#This Row],[Number of Failed Units]]/WorkmanshipResultsTable[[#This Row],[Total Units Built]]</f>
        <v>1.6506189821182942E-2</v>
      </c>
      <c r="M178" s="25">
        <v>45360</v>
      </c>
      <c r="N178" s="19" t="s">
        <v>47</v>
      </c>
      <c r="O178" s="19" t="s">
        <v>48</v>
      </c>
      <c r="P178" s="20"/>
      <c r="Q178" s="19"/>
      <c r="R178" s="19"/>
      <c r="S178" s="19"/>
      <c r="T178" s="19"/>
      <c r="U178" s="21"/>
    </row>
    <row r="179" spans="1:21" ht="30.75">
      <c r="A179" s="19" t="s">
        <v>21</v>
      </c>
      <c r="B179" s="19" t="s">
        <v>41</v>
      </c>
      <c r="C179" s="19" t="s">
        <v>33</v>
      </c>
      <c r="D179" s="19" t="s">
        <v>64</v>
      </c>
      <c r="E179" s="19"/>
      <c r="F179" s="19" t="s">
        <v>681</v>
      </c>
      <c r="G179" s="19" t="s">
        <v>263</v>
      </c>
      <c r="H179" s="19" t="s">
        <v>264</v>
      </c>
      <c r="I179" s="19" t="s">
        <v>46</v>
      </c>
      <c r="J179" s="20">
        <v>10</v>
      </c>
      <c r="K179" s="20">
        <v>595</v>
      </c>
      <c r="L179" s="33">
        <f>WorkmanshipResultsTable[[#This Row],[Number of Failed Units]]/WorkmanshipResultsTable[[#This Row],[Total Units Built]]</f>
        <v>1.680672268907563E-2</v>
      </c>
      <c r="M179" s="25">
        <v>45394</v>
      </c>
      <c r="N179" s="19" t="s">
        <v>47</v>
      </c>
      <c r="O179" s="19" t="s">
        <v>48</v>
      </c>
      <c r="P179" s="20"/>
      <c r="Q179" s="19"/>
      <c r="R179" s="19"/>
      <c r="S179" s="19"/>
      <c r="T179" s="19"/>
      <c r="U179" s="21"/>
    </row>
    <row r="180" spans="1:21" ht="91.5">
      <c r="A180" s="19" t="s">
        <v>21</v>
      </c>
      <c r="B180" s="19" t="s">
        <v>163</v>
      </c>
      <c r="C180" s="19" t="s">
        <v>33</v>
      </c>
      <c r="D180" s="19" t="s">
        <v>64</v>
      </c>
      <c r="E180" s="19"/>
      <c r="F180" s="19" t="s">
        <v>682</v>
      </c>
      <c r="G180" s="19" t="s">
        <v>683</v>
      </c>
      <c r="H180" s="19" t="s">
        <v>684</v>
      </c>
      <c r="I180" s="19" t="s">
        <v>46</v>
      </c>
      <c r="J180" s="20">
        <v>5</v>
      </c>
      <c r="K180" s="20">
        <v>295</v>
      </c>
      <c r="L180" s="33">
        <f>WorkmanshipResultsTable[[#This Row],[Number of Failed Units]]/WorkmanshipResultsTable[[#This Row],[Total Units Built]]</f>
        <v>1.6949152542372881E-2</v>
      </c>
      <c r="M180" s="25">
        <v>46062</v>
      </c>
      <c r="N180" s="19" t="s">
        <v>47</v>
      </c>
      <c r="O180" s="19" t="s">
        <v>48</v>
      </c>
      <c r="P180" s="20"/>
      <c r="Q180" s="19"/>
      <c r="R180" s="19"/>
      <c r="S180" s="19"/>
      <c r="T180" s="19"/>
      <c r="U180" s="21"/>
    </row>
    <row r="181" spans="1:21" ht="30.75">
      <c r="A181" s="19" t="s">
        <v>21</v>
      </c>
      <c r="B181" s="19" t="s">
        <v>41</v>
      </c>
      <c r="C181" s="19" t="s">
        <v>33</v>
      </c>
      <c r="D181" s="19" t="s">
        <v>52</v>
      </c>
      <c r="E181" s="19"/>
      <c r="F181" s="19" t="s">
        <v>685</v>
      </c>
      <c r="G181" s="19" t="s">
        <v>458</v>
      </c>
      <c r="H181" s="19" t="s">
        <v>264</v>
      </c>
      <c r="I181" s="19" t="s">
        <v>46</v>
      </c>
      <c r="J181" s="20">
        <v>6</v>
      </c>
      <c r="K181" s="20">
        <v>350</v>
      </c>
      <c r="L181" s="33">
        <f>WorkmanshipResultsTable[[#This Row],[Number of Failed Units]]/WorkmanshipResultsTable[[#This Row],[Total Units Built]]</f>
        <v>1.7142857142857144E-2</v>
      </c>
      <c r="M181" s="25">
        <v>45376</v>
      </c>
      <c r="N181" s="19" t="s">
        <v>47</v>
      </c>
      <c r="O181" s="19" t="s">
        <v>48</v>
      </c>
      <c r="P181" s="20"/>
      <c r="Q181" s="19"/>
      <c r="R181" s="19"/>
      <c r="S181" s="19"/>
      <c r="T181" s="19"/>
      <c r="U181" s="21"/>
    </row>
    <row r="182" spans="1:21" ht="30.75">
      <c r="A182" s="19" t="s">
        <v>21</v>
      </c>
      <c r="B182" s="19" t="s">
        <v>41</v>
      </c>
      <c r="C182" s="19" t="s">
        <v>33</v>
      </c>
      <c r="D182" s="19" t="s">
        <v>64</v>
      </c>
      <c r="E182" s="19"/>
      <c r="F182" s="19" t="s">
        <v>686</v>
      </c>
      <c r="G182" s="19" t="s">
        <v>254</v>
      </c>
      <c r="H182" s="19" t="s">
        <v>687</v>
      </c>
      <c r="I182" s="19" t="s">
        <v>46</v>
      </c>
      <c r="J182" s="20">
        <v>10</v>
      </c>
      <c r="K182" s="20">
        <v>573</v>
      </c>
      <c r="L182" s="33">
        <f>WorkmanshipResultsTable[[#This Row],[Number of Failed Units]]/WorkmanshipResultsTable[[#This Row],[Total Units Built]]</f>
        <v>1.7452006980802792E-2</v>
      </c>
      <c r="M182" s="25">
        <v>45797</v>
      </c>
      <c r="N182" s="19" t="s">
        <v>47</v>
      </c>
      <c r="O182" s="19" t="s">
        <v>48</v>
      </c>
      <c r="P182" s="20"/>
      <c r="Q182" s="19"/>
      <c r="R182" s="19"/>
      <c r="S182" s="19"/>
      <c r="T182" s="19"/>
      <c r="U182" s="21"/>
    </row>
    <row r="183" spans="1:21" ht="45.75">
      <c r="A183" s="19" t="s">
        <v>21</v>
      </c>
      <c r="B183" s="19" t="s">
        <v>56</v>
      </c>
      <c r="C183" s="19" t="s">
        <v>33</v>
      </c>
      <c r="D183" s="19" t="s">
        <v>410</v>
      </c>
      <c r="E183" s="19"/>
      <c r="F183" s="19" t="s">
        <v>688</v>
      </c>
      <c r="G183" s="19" t="s">
        <v>689</v>
      </c>
      <c r="H183" s="19" t="s">
        <v>690</v>
      </c>
      <c r="I183" s="19" t="s">
        <v>46</v>
      </c>
      <c r="J183" s="20">
        <v>5</v>
      </c>
      <c r="K183" s="20">
        <v>281</v>
      </c>
      <c r="L183" s="33">
        <f>WorkmanshipResultsTable[[#This Row],[Number of Failed Units]]/WorkmanshipResultsTable[[#This Row],[Total Units Built]]</f>
        <v>1.7793594306049824E-2</v>
      </c>
      <c r="M183" s="25">
        <v>45677</v>
      </c>
      <c r="N183" s="19" t="s">
        <v>47</v>
      </c>
      <c r="O183" s="19" t="s">
        <v>48</v>
      </c>
      <c r="P183" s="20"/>
      <c r="Q183" s="19"/>
      <c r="R183" s="19"/>
      <c r="S183" s="19"/>
      <c r="T183" s="19"/>
      <c r="U183" s="21"/>
    </row>
    <row r="184" spans="1:21" ht="30.75">
      <c r="A184" s="19" t="s">
        <v>21</v>
      </c>
      <c r="B184" s="19" t="s">
        <v>63</v>
      </c>
      <c r="C184" s="19" t="s">
        <v>33</v>
      </c>
      <c r="D184" s="19" t="s">
        <v>64</v>
      </c>
      <c r="E184" s="19"/>
      <c r="F184" s="19" t="s">
        <v>691</v>
      </c>
      <c r="G184" s="19" t="s">
        <v>58</v>
      </c>
      <c r="H184" s="19" t="s">
        <v>66</v>
      </c>
      <c r="I184" s="19" t="s">
        <v>46</v>
      </c>
      <c r="J184" s="20">
        <v>7</v>
      </c>
      <c r="K184" s="20">
        <v>386</v>
      </c>
      <c r="L184" s="33">
        <f>WorkmanshipResultsTable[[#This Row],[Number of Failed Units]]/WorkmanshipResultsTable[[#This Row],[Total Units Built]]</f>
        <v>1.8134715025906734E-2</v>
      </c>
      <c r="M184" s="25">
        <v>45664</v>
      </c>
      <c r="N184" s="19" t="s">
        <v>47</v>
      </c>
      <c r="O184" s="19" t="s">
        <v>48</v>
      </c>
      <c r="P184" s="20"/>
      <c r="Q184" s="19"/>
      <c r="R184" s="19"/>
      <c r="S184" s="19"/>
      <c r="T184" s="19"/>
      <c r="U184" s="21"/>
    </row>
    <row r="185" spans="1:21" ht="91.5">
      <c r="A185" s="19" t="s">
        <v>21</v>
      </c>
      <c r="B185" s="19" t="s">
        <v>41</v>
      </c>
      <c r="C185" s="19" t="s">
        <v>33</v>
      </c>
      <c r="D185" s="19" t="s">
        <v>64</v>
      </c>
      <c r="E185" s="19"/>
      <c r="F185" s="19" t="s">
        <v>692</v>
      </c>
      <c r="G185" s="19" t="s">
        <v>693</v>
      </c>
      <c r="H185" s="19" t="s">
        <v>694</v>
      </c>
      <c r="I185" s="19" t="s">
        <v>46</v>
      </c>
      <c r="J185" s="20">
        <v>3</v>
      </c>
      <c r="K185" s="20">
        <v>165</v>
      </c>
      <c r="L185" s="33">
        <f>WorkmanshipResultsTable[[#This Row],[Number of Failed Units]]/WorkmanshipResultsTable[[#This Row],[Total Units Built]]</f>
        <v>1.8181818181818181E-2</v>
      </c>
      <c r="M185" s="25">
        <v>45983</v>
      </c>
      <c r="N185" s="19" t="s">
        <v>47</v>
      </c>
      <c r="O185" s="19" t="s">
        <v>48</v>
      </c>
      <c r="P185" s="20"/>
      <c r="Q185" s="19"/>
      <c r="R185" s="19"/>
      <c r="S185" s="19"/>
      <c r="T185" s="19"/>
      <c r="U185" s="21"/>
    </row>
    <row r="186" spans="1:21" ht="91.5">
      <c r="A186" s="19" t="s">
        <v>444</v>
      </c>
      <c r="B186" s="19" t="s">
        <v>41</v>
      </c>
      <c r="C186" s="19" t="s">
        <v>33</v>
      </c>
      <c r="D186" s="19" t="s">
        <v>695</v>
      </c>
      <c r="E186" s="19"/>
      <c r="F186" s="19" t="s">
        <v>696</v>
      </c>
      <c r="G186" s="19" t="s">
        <v>697</v>
      </c>
      <c r="H186" s="19" t="s">
        <v>698</v>
      </c>
      <c r="I186" s="19" t="s">
        <v>176</v>
      </c>
      <c r="J186" s="20">
        <v>1</v>
      </c>
      <c r="K186" s="20">
        <v>54</v>
      </c>
      <c r="L186" s="33">
        <f>WorkmanshipResultsTable[[#This Row],[Number of Failed Units]]/WorkmanshipResultsTable[[#This Row],[Total Units Built]]</f>
        <v>1.8518518518518517E-2</v>
      </c>
      <c r="M186" s="25">
        <v>46030</v>
      </c>
      <c r="N186" s="27" t="s">
        <v>47</v>
      </c>
      <c r="O186" s="19" t="s">
        <v>177</v>
      </c>
      <c r="P186" s="20"/>
      <c r="Q186" s="19"/>
      <c r="R186" s="19"/>
      <c r="S186" s="19"/>
      <c r="T186" s="19"/>
      <c r="U186" s="39" t="s">
        <v>699</v>
      </c>
    </row>
    <row r="187" spans="1:21" ht="45.75">
      <c r="A187" s="19" t="s">
        <v>21</v>
      </c>
      <c r="B187" s="19" t="s">
        <v>92</v>
      </c>
      <c r="C187" s="19" t="s">
        <v>33</v>
      </c>
      <c r="D187" s="19" t="s">
        <v>294</v>
      </c>
      <c r="E187" s="19"/>
      <c r="F187" s="19" t="s">
        <v>700</v>
      </c>
      <c r="G187" s="19" t="s">
        <v>296</v>
      </c>
      <c r="H187" s="19" t="s">
        <v>297</v>
      </c>
      <c r="I187" s="19" t="s">
        <v>46</v>
      </c>
      <c r="J187" s="20">
        <v>2</v>
      </c>
      <c r="K187" s="20">
        <v>107</v>
      </c>
      <c r="L187" s="33">
        <f>WorkmanshipResultsTable[[#This Row],[Number of Failed Units]]/WorkmanshipResultsTable[[#This Row],[Total Units Built]]</f>
        <v>1.8691588785046728E-2</v>
      </c>
      <c r="M187" s="25">
        <v>45629</v>
      </c>
      <c r="N187" s="19" t="s">
        <v>47</v>
      </c>
      <c r="O187" s="19" t="s">
        <v>48</v>
      </c>
      <c r="P187" s="20"/>
      <c r="Q187" s="19"/>
      <c r="R187" s="19"/>
      <c r="S187" s="19"/>
      <c r="T187" s="19"/>
      <c r="U187" s="21"/>
    </row>
    <row r="188" spans="1:21" ht="45.75">
      <c r="A188" s="19" t="s">
        <v>701</v>
      </c>
      <c r="B188" s="19" t="s">
        <v>41</v>
      </c>
      <c r="C188" s="19" t="s">
        <v>33</v>
      </c>
      <c r="D188" s="19" t="s">
        <v>702</v>
      </c>
      <c r="E188" s="19"/>
      <c r="F188" s="19" t="s">
        <v>703</v>
      </c>
      <c r="G188" s="19" t="s">
        <v>704</v>
      </c>
      <c r="H188" s="19"/>
      <c r="I188" s="19" t="s">
        <v>176</v>
      </c>
      <c r="J188" s="20">
        <v>1</v>
      </c>
      <c r="K188" s="20">
        <v>53</v>
      </c>
      <c r="L188" s="33">
        <f>WorkmanshipResultsTable[[#This Row],[Number of Failed Units]]/WorkmanshipResultsTable[[#This Row],[Total Units Built]]</f>
        <v>1.8867924528301886E-2</v>
      </c>
      <c r="M188" s="25">
        <v>45581</v>
      </c>
      <c r="N188" s="27" t="s">
        <v>47</v>
      </c>
      <c r="O188" s="19" t="s">
        <v>177</v>
      </c>
      <c r="P188" s="20"/>
      <c r="Q188" s="19"/>
      <c r="R188" s="19"/>
      <c r="S188" s="19"/>
      <c r="T188" s="19"/>
      <c r="U188" s="21"/>
    </row>
    <row r="189" spans="1:21" ht="45.75">
      <c r="A189" s="19" t="s">
        <v>21</v>
      </c>
      <c r="B189" s="19" t="s">
        <v>22</v>
      </c>
      <c r="C189" s="19" t="s">
        <v>23</v>
      </c>
      <c r="D189" s="19" t="s">
        <v>705</v>
      </c>
      <c r="E189" s="19" t="s">
        <v>706</v>
      </c>
      <c r="F189" s="19" t="s">
        <v>707</v>
      </c>
      <c r="G189" s="19" t="s">
        <v>708</v>
      </c>
      <c r="H189" s="19"/>
      <c r="I189" s="19" t="s">
        <v>111</v>
      </c>
      <c r="J189" s="20">
        <v>1</v>
      </c>
      <c r="K189" s="20">
        <v>53</v>
      </c>
      <c r="L189" s="33">
        <f>WorkmanshipResultsTable[[#This Row],[Number of Failed Units]]/WorkmanshipResultsTable[[#This Row],[Total Units Built]]</f>
        <v>1.8867924528301886E-2</v>
      </c>
      <c r="M189" s="25">
        <v>45628</v>
      </c>
      <c r="N189" s="19" t="s">
        <v>29</v>
      </c>
      <c r="O189" s="19" t="s">
        <v>30</v>
      </c>
      <c r="P189" s="20" t="s">
        <v>709</v>
      </c>
      <c r="Q189" s="19"/>
      <c r="R189" s="19"/>
      <c r="S189" s="19"/>
      <c r="T189" s="19"/>
      <c r="U189" s="21"/>
    </row>
    <row r="190" spans="1:21" ht="60.75">
      <c r="A190" s="42" t="s">
        <v>21</v>
      </c>
      <c r="B190" s="42" t="s">
        <v>710</v>
      </c>
      <c r="C190" s="19" t="s">
        <v>33</v>
      </c>
      <c r="D190" s="19" t="s">
        <v>52</v>
      </c>
      <c r="E190" s="19"/>
      <c r="F190" s="19" t="s">
        <v>711</v>
      </c>
      <c r="G190" s="19" t="s">
        <v>712</v>
      </c>
      <c r="H190" s="19" t="s">
        <v>713</v>
      </c>
      <c r="I190" s="19" t="s">
        <v>46</v>
      </c>
      <c r="J190" s="20">
        <v>15</v>
      </c>
      <c r="K190" s="20">
        <v>791</v>
      </c>
      <c r="L190" s="33">
        <f>WorkmanshipResultsTable[[#This Row],[Number of Failed Units]]/WorkmanshipResultsTable[[#This Row],[Total Units Built]]</f>
        <v>1.8963337547408345E-2</v>
      </c>
      <c r="M190" s="25">
        <v>45832</v>
      </c>
      <c r="N190" s="19" t="s">
        <v>47</v>
      </c>
      <c r="O190" s="19" t="s">
        <v>48</v>
      </c>
      <c r="P190" s="20"/>
      <c r="Q190" s="19"/>
      <c r="R190" s="19"/>
      <c r="S190" s="19"/>
      <c r="T190" s="19"/>
      <c r="U190" s="21"/>
    </row>
    <row r="191" spans="1:21" ht="45.75">
      <c r="A191" s="19" t="s">
        <v>21</v>
      </c>
      <c r="B191" s="19" t="s">
        <v>92</v>
      </c>
      <c r="C191" s="19" t="s">
        <v>33</v>
      </c>
      <c r="D191" s="19" t="s">
        <v>714</v>
      </c>
      <c r="E191" s="19"/>
      <c r="F191" s="19" t="s">
        <v>715</v>
      </c>
      <c r="G191" s="19" t="s">
        <v>94</v>
      </c>
      <c r="H191" s="19" t="s">
        <v>95</v>
      </c>
      <c r="I191" s="19" t="s">
        <v>46</v>
      </c>
      <c r="J191" s="20">
        <v>3</v>
      </c>
      <c r="K191" s="20">
        <v>156</v>
      </c>
      <c r="L191" s="33">
        <f>WorkmanshipResultsTable[[#This Row],[Number of Failed Units]]/WorkmanshipResultsTable[[#This Row],[Total Units Built]]</f>
        <v>1.9230769230769232E-2</v>
      </c>
      <c r="M191" s="25">
        <v>45331</v>
      </c>
      <c r="N191" s="19" t="s">
        <v>47</v>
      </c>
      <c r="O191" s="19" t="s">
        <v>48</v>
      </c>
      <c r="P191" s="20"/>
      <c r="Q191" s="19"/>
      <c r="R191" s="19"/>
      <c r="S191" s="19"/>
      <c r="T191" s="19"/>
      <c r="U191" s="21"/>
    </row>
    <row r="192" spans="1:21" ht="30.75">
      <c r="A192" s="19" t="s">
        <v>21</v>
      </c>
      <c r="B192" s="19" t="s">
        <v>41</v>
      </c>
      <c r="C192" s="19" t="s">
        <v>33</v>
      </c>
      <c r="D192" s="19" t="s">
        <v>52</v>
      </c>
      <c r="E192" s="19"/>
      <c r="F192" s="19" t="s">
        <v>716</v>
      </c>
      <c r="G192" s="19" t="s">
        <v>717</v>
      </c>
      <c r="H192" s="19" t="s">
        <v>718</v>
      </c>
      <c r="I192" s="19" t="s">
        <v>46</v>
      </c>
      <c r="J192" s="20">
        <v>13</v>
      </c>
      <c r="K192" s="20">
        <v>668</v>
      </c>
      <c r="L192" s="33">
        <f>WorkmanshipResultsTable[[#This Row],[Number of Failed Units]]/WorkmanshipResultsTable[[#This Row],[Total Units Built]]</f>
        <v>1.9461077844311378E-2</v>
      </c>
      <c r="M192" s="25">
        <v>45511</v>
      </c>
      <c r="N192" s="19" t="s">
        <v>47</v>
      </c>
      <c r="O192" s="19" t="s">
        <v>48</v>
      </c>
      <c r="P192" s="20"/>
      <c r="Q192" s="19"/>
      <c r="R192" s="19"/>
      <c r="S192" s="19"/>
      <c r="T192" s="19"/>
      <c r="U192" s="21"/>
    </row>
    <row r="193" spans="1:21" ht="18.75" customHeight="1">
      <c r="A193" s="19" t="s">
        <v>662</v>
      </c>
      <c r="B193" s="19" t="s">
        <v>63</v>
      </c>
      <c r="C193" s="19" t="s">
        <v>23</v>
      </c>
      <c r="D193" s="19" t="s">
        <v>719</v>
      </c>
      <c r="E193" s="19" t="s">
        <v>720</v>
      </c>
      <c r="F193" s="19" t="s">
        <v>721</v>
      </c>
      <c r="G193" s="19" t="s">
        <v>722</v>
      </c>
      <c r="H193" s="19" t="s">
        <v>274</v>
      </c>
      <c r="I193" s="19" t="s">
        <v>130</v>
      </c>
      <c r="J193" s="20">
        <v>1</v>
      </c>
      <c r="K193" s="20">
        <v>51</v>
      </c>
      <c r="L193" s="35">
        <f>WorkmanshipResultsTable[[#This Row],[Number of Failed Units]]/WorkmanshipResultsTable[[#This Row],[Total Units Built]]</f>
        <v>1.9607843137254902E-2</v>
      </c>
      <c r="M193" s="26">
        <v>46112</v>
      </c>
      <c r="N193" s="19" t="s">
        <v>47</v>
      </c>
      <c r="O193" s="19" t="s">
        <v>131</v>
      </c>
      <c r="P193" s="20"/>
      <c r="Q193" s="19"/>
      <c r="R193" s="19"/>
      <c r="S193" s="19"/>
      <c r="T193" s="19"/>
      <c r="U193" s="39" t="s">
        <v>79</v>
      </c>
    </row>
    <row r="194" spans="1:21" ht="91.5">
      <c r="A194" s="19" t="s">
        <v>157</v>
      </c>
      <c r="B194" s="19" t="s">
        <v>202</v>
      </c>
      <c r="C194" s="19" t="s">
        <v>23</v>
      </c>
      <c r="D194" s="19" t="s">
        <v>158</v>
      </c>
      <c r="E194" s="19" t="s">
        <v>159</v>
      </c>
      <c r="F194" s="19" t="s">
        <v>723</v>
      </c>
      <c r="G194" s="19" t="s">
        <v>724</v>
      </c>
      <c r="H194" s="19" t="s">
        <v>725</v>
      </c>
      <c r="I194" s="22" t="s">
        <v>38</v>
      </c>
      <c r="J194" s="20">
        <v>6</v>
      </c>
      <c r="K194" s="20">
        <v>305</v>
      </c>
      <c r="L194" s="35">
        <f>WorkmanshipResultsTable[[#This Row],[Number of Failed Units]]/WorkmanshipResultsTable[[#This Row],[Total Units Built]]</f>
        <v>1.9672131147540985E-2</v>
      </c>
      <c r="M194" s="25">
        <v>45585</v>
      </c>
      <c r="N194" s="19" t="s">
        <v>47</v>
      </c>
      <c r="O194" s="19" t="s">
        <v>162</v>
      </c>
      <c r="P194" s="20"/>
      <c r="Q194" s="19"/>
      <c r="R194" s="19"/>
      <c r="S194" s="19"/>
      <c r="T194" s="19"/>
      <c r="U194" s="21"/>
    </row>
    <row r="195" spans="1:21" ht="45.75">
      <c r="A195" s="19" t="s">
        <v>113</v>
      </c>
      <c r="B195" s="19" t="s">
        <v>92</v>
      </c>
      <c r="C195" s="19" t="s">
        <v>33</v>
      </c>
      <c r="D195" s="19" t="s">
        <v>407</v>
      </c>
      <c r="E195" s="19"/>
      <c r="F195" s="19" t="s">
        <v>726</v>
      </c>
      <c r="G195" s="19" t="s">
        <v>348</v>
      </c>
      <c r="H195" s="19" t="s">
        <v>349</v>
      </c>
      <c r="I195" s="19" t="s">
        <v>77</v>
      </c>
      <c r="J195" s="20">
        <v>3</v>
      </c>
      <c r="K195" s="20">
        <v>152</v>
      </c>
      <c r="L195" s="33">
        <f>WorkmanshipResultsTable[[#This Row],[Number of Failed Units]]/WorkmanshipResultsTable[[#This Row],[Total Units Built]]</f>
        <v>1.9736842105263157E-2</v>
      </c>
      <c r="M195" s="20" t="s">
        <v>727</v>
      </c>
      <c r="N195" s="21" t="s">
        <v>47</v>
      </c>
      <c r="O195" s="19" t="s">
        <v>118</v>
      </c>
      <c r="P195" s="20"/>
      <c r="Q195" s="19"/>
      <c r="R195" s="19"/>
      <c r="S195" s="19"/>
      <c r="T195" s="19"/>
      <c r="U195" s="21" t="s">
        <v>119</v>
      </c>
    </row>
    <row r="196" spans="1:21" ht="45.75">
      <c r="A196" s="19" t="s">
        <v>662</v>
      </c>
      <c r="B196" s="19" t="s">
        <v>41</v>
      </c>
      <c r="C196" s="19" t="s">
        <v>23</v>
      </c>
      <c r="D196" s="19" t="s">
        <v>728</v>
      </c>
      <c r="E196" s="19" t="s">
        <v>390</v>
      </c>
      <c r="F196" s="19" t="s">
        <v>729</v>
      </c>
      <c r="G196" s="19" t="s">
        <v>666</v>
      </c>
      <c r="H196" s="19" t="s">
        <v>473</v>
      </c>
      <c r="I196" s="19" t="s">
        <v>130</v>
      </c>
      <c r="J196" s="20">
        <v>1</v>
      </c>
      <c r="K196" s="20">
        <v>50</v>
      </c>
      <c r="L196" s="35">
        <f>WorkmanshipResultsTable[[#This Row],[Number of Failed Units]]/WorkmanshipResultsTable[[#This Row],[Total Units Built]]</f>
        <v>0.02</v>
      </c>
      <c r="M196" s="26">
        <v>45972</v>
      </c>
      <c r="N196" s="19" t="s">
        <v>47</v>
      </c>
      <c r="O196" s="19" t="s">
        <v>131</v>
      </c>
      <c r="P196" s="20"/>
      <c r="Q196" s="19"/>
      <c r="R196" s="19"/>
      <c r="S196" s="19"/>
      <c r="T196" s="19"/>
      <c r="U196" s="39" t="s">
        <v>79</v>
      </c>
    </row>
    <row r="197" spans="1:21" ht="45.75">
      <c r="A197" s="19" t="s">
        <v>662</v>
      </c>
      <c r="B197" s="19" t="s">
        <v>41</v>
      </c>
      <c r="C197" s="19" t="s">
        <v>23</v>
      </c>
      <c r="D197" s="19" t="s">
        <v>728</v>
      </c>
      <c r="E197" s="19" t="s">
        <v>390</v>
      </c>
      <c r="F197" s="19" t="s">
        <v>730</v>
      </c>
      <c r="G197" s="19" t="s">
        <v>666</v>
      </c>
      <c r="H197" s="19" t="s">
        <v>473</v>
      </c>
      <c r="I197" s="19" t="s">
        <v>130</v>
      </c>
      <c r="J197" s="20">
        <v>1</v>
      </c>
      <c r="K197" s="20">
        <v>50</v>
      </c>
      <c r="L197" s="35">
        <f>WorkmanshipResultsTable[[#This Row],[Number of Failed Units]]/WorkmanshipResultsTable[[#This Row],[Total Units Built]]</f>
        <v>0.02</v>
      </c>
      <c r="M197" s="26">
        <v>45973</v>
      </c>
      <c r="N197" s="19" t="s">
        <v>47</v>
      </c>
      <c r="O197" s="19" t="s">
        <v>131</v>
      </c>
      <c r="P197" s="20"/>
      <c r="Q197" s="19"/>
      <c r="R197" s="19"/>
      <c r="S197" s="19"/>
      <c r="T197" s="19"/>
      <c r="U197" s="39" t="s">
        <v>79</v>
      </c>
    </row>
    <row r="198" spans="1:21" ht="30.75">
      <c r="A198" s="19" t="s">
        <v>21</v>
      </c>
      <c r="B198" s="19" t="s">
        <v>41</v>
      </c>
      <c r="C198" s="19" t="s">
        <v>33</v>
      </c>
      <c r="D198" s="19" t="s">
        <v>528</v>
      </c>
      <c r="E198" s="19"/>
      <c r="F198" s="19" t="s">
        <v>731</v>
      </c>
      <c r="G198" s="19" t="s">
        <v>71</v>
      </c>
      <c r="H198" s="19" t="s">
        <v>72</v>
      </c>
      <c r="I198" s="19" t="s">
        <v>46</v>
      </c>
      <c r="J198" s="20">
        <v>2</v>
      </c>
      <c r="K198" s="20">
        <v>100</v>
      </c>
      <c r="L198" s="33">
        <f>WorkmanshipResultsTable[[#This Row],[Number of Failed Units]]/WorkmanshipResultsTable[[#This Row],[Total Units Built]]</f>
        <v>0.02</v>
      </c>
      <c r="M198" s="25">
        <v>45548</v>
      </c>
      <c r="N198" s="19" t="s">
        <v>47</v>
      </c>
      <c r="O198" s="19" t="s">
        <v>48</v>
      </c>
      <c r="P198" s="20"/>
      <c r="Q198" s="19"/>
      <c r="R198" s="19"/>
      <c r="S198" s="19"/>
      <c r="T198" s="19"/>
      <c r="U198" s="21"/>
    </row>
    <row r="199" spans="1:21" ht="45.75">
      <c r="A199" s="19" t="s">
        <v>21</v>
      </c>
      <c r="B199" s="19" t="s">
        <v>92</v>
      </c>
      <c r="C199" s="19" t="s">
        <v>33</v>
      </c>
      <c r="D199" s="19" t="s">
        <v>64</v>
      </c>
      <c r="E199" s="19"/>
      <c r="F199" s="19" t="s">
        <v>732</v>
      </c>
      <c r="G199" s="19" t="s">
        <v>733</v>
      </c>
      <c r="H199" s="19" t="s">
        <v>389</v>
      </c>
      <c r="I199" s="19" t="s">
        <v>46</v>
      </c>
      <c r="J199" s="20">
        <v>2</v>
      </c>
      <c r="K199" s="20">
        <v>99</v>
      </c>
      <c r="L199" s="33">
        <f>WorkmanshipResultsTable[[#This Row],[Number of Failed Units]]/WorkmanshipResultsTable[[#This Row],[Total Units Built]]</f>
        <v>2.0202020202020204E-2</v>
      </c>
      <c r="M199" s="25">
        <v>45555</v>
      </c>
      <c r="N199" s="19" t="s">
        <v>47</v>
      </c>
      <c r="O199" s="19" t="s">
        <v>48</v>
      </c>
      <c r="P199" s="20"/>
      <c r="Q199" s="19"/>
      <c r="R199" s="19"/>
      <c r="S199" s="19"/>
      <c r="T199" s="19"/>
      <c r="U199" s="21"/>
    </row>
    <row r="200" spans="1:21" ht="45.75">
      <c r="A200" s="19" t="s">
        <v>21</v>
      </c>
      <c r="B200" s="19" t="s">
        <v>22</v>
      </c>
      <c r="C200" s="19" t="s">
        <v>23</v>
      </c>
      <c r="D200" s="19" t="s">
        <v>734</v>
      </c>
      <c r="E200" s="19" t="s">
        <v>735</v>
      </c>
      <c r="F200" s="19" t="s">
        <v>736</v>
      </c>
      <c r="G200" s="19" t="s">
        <v>22</v>
      </c>
      <c r="H200" s="19" t="s">
        <v>737</v>
      </c>
      <c r="I200" s="19" t="s">
        <v>28</v>
      </c>
      <c r="J200" s="20">
        <v>1</v>
      </c>
      <c r="K200" s="20">
        <v>49</v>
      </c>
      <c r="L200" s="33">
        <f>WorkmanshipResultsTable[[#This Row],[Number of Failed Units]]/WorkmanshipResultsTable[[#This Row],[Total Units Built]]</f>
        <v>2.0408163265306121E-2</v>
      </c>
      <c r="M200" s="25">
        <v>45440</v>
      </c>
      <c r="N200" s="19" t="s">
        <v>29</v>
      </c>
      <c r="O200" s="19" t="s">
        <v>30</v>
      </c>
      <c r="P200" s="20" t="s">
        <v>738</v>
      </c>
      <c r="Q200" s="19"/>
      <c r="R200" s="19"/>
      <c r="S200" s="19"/>
      <c r="T200" s="19"/>
      <c r="U200" s="21"/>
    </row>
    <row r="201" spans="1:21" ht="76.5">
      <c r="A201" s="19" t="s">
        <v>21</v>
      </c>
      <c r="B201" s="19" t="s">
        <v>85</v>
      </c>
      <c r="C201" s="19" t="s">
        <v>33</v>
      </c>
      <c r="D201" s="19" t="s">
        <v>601</v>
      </c>
      <c r="E201" s="19"/>
      <c r="F201" s="19" t="s">
        <v>739</v>
      </c>
      <c r="G201" s="19" t="s">
        <v>740</v>
      </c>
      <c r="H201" s="19" t="s">
        <v>741</v>
      </c>
      <c r="I201" s="19" t="s">
        <v>176</v>
      </c>
      <c r="J201" s="20">
        <v>1</v>
      </c>
      <c r="K201" s="20"/>
      <c r="L201" s="33">
        <v>2.0799999999999999E-2</v>
      </c>
      <c r="M201" s="25">
        <v>45428</v>
      </c>
      <c r="N201" s="21" t="s">
        <v>372</v>
      </c>
      <c r="O201" s="22" t="s">
        <v>742</v>
      </c>
      <c r="P201" s="20" t="s">
        <v>743</v>
      </c>
      <c r="Q201" s="19"/>
      <c r="R201" s="19"/>
      <c r="S201" s="19"/>
      <c r="T201" s="19"/>
      <c r="U201" s="21" t="s">
        <v>744</v>
      </c>
    </row>
    <row r="202" spans="1:21" ht="30.75">
      <c r="A202" s="19" t="s">
        <v>113</v>
      </c>
      <c r="B202" s="19" t="s">
        <v>163</v>
      </c>
      <c r="C202" s="19" t="s">
        <v>23</v>
      </c>
      <c r="D202" s="19" t="s">
        <v>728</v>
      </c>
      <c r="E202" s="19" t="s">
        <v>745</v>
      </c>
      <c r="F202" s="19" t="s">
        <v>746</v>
      </c>
      <c r="G202" s="19" t="s">
        <v>747</v>
      </c>
      <c r="H202" s="19" t="s">
        <v>274</v>
      </c>
      <c r="I202" s="19" t="s">
        <v>130</v>
      </c>
      <c r="J202" s="20">
        <v>1</v>
      </c>
      <c r="K202" s="20">
        <v>48</v>
      </c>
      <c r="L202" s="35">
        <f>WorkmanshipResultsTable[[#This Row],[Number of Failed Units]]/WorkmanshipResultsTable[[#This Row],[Total Units Built]]</f>
        <v>2.0833333333333332E-2</v>
      </c>
      <c r="M202" s="26">
        <v>46143</v>
      </c>
      <c r="N202" s="19" t="s">
        <v>47</v>
      </c>
      <c r="O202" s="19" t="s">
        <v>131</v>
      </c>
      <c r="P202" s="20"/>
      <c r="Q202" s="19"/>
      <c r="R202" s="19"/>
      <c r="S202" s="19"/>
      <c r="T202" s="19"/>
      <c r="U202" s="39" t="s">
        <v>79</v>
      </c>
    </row>
    <row r="203" spans="1:21" ht="137.25">
      <c r="A203" s="19" t="s">
        <v>21</v>
      </c>
      <c r="B203" s="19" t="s">
        <v>41</v>
      </c>
      <c r="C203" s="19" t="s">
        <v>33</v>
      </c>
      <c r="D203" s="19" t="s">
        <v>64</v>
      </c>
      <c r="E203" s="19"/>
      <c r="F203" s="19" t="s">
        <v>748</v>
      </c>
      <c r="G203" s="19" t="s">
        <v>749</v>
      </c>
      <c r="H203" s="19" t="s">
        <v>750</v>
      </c>
      <c r="I203" s="19" t="s">
        <v>46</v>
      </c>
      <c r="J203" s="20">
        <v>8</v>
      </c>
      <c r="K203" s="20">
        <v>379</v>
      </c>
      <c r="L203" s="33">
        <f>WorkmanshipResultsTable[[#This Row],[Number of Failed Units]]/WorkmanshipResultsTable[[#This Row],[Total Units Built]]</f>
        <v>2.1108179419525065E-2</v>
      </c>
      <c r="M203" s="25">
        <v>45986</v>
      </c>
      <c r="N203" s="19" t="s">
        <v>47</v>
      </c>
      <c r="O203" s="19" t="s">
        <v>48</v>
      </c>
      <c r="P203" s="20"/>
      <c r="Q203" s="19"/>
      <c r="R203" s="19"/>
      <c r="S203" s="19"/>
      <c r="T203" s="19"/>
      <c r="U203" s="21"/>
    </row>
    <row r="204" spans="1:21">
      <c r="A204" s="19" t="s">
        <v>21</v>
      </c>
      <c r="B204" s="19" t="s">
        <v>751</v>
      </c>
      <c r="C204" s="19" t="s">
        <v>23</v>
      </c>
      <c r="D204" s="19" t="s">
        <v>752</v>
      </c>
      <c r="E204" s="19" t="s">
        <v>753</v>
      </c>
      <c r="F204" s="19" t="s">
        <v>754</v>
      </c>
      <c r="G204" s="19" t="s">
        <v>751</v>
      </c>
      <c r="H204" s="19"/>
      <c r="I204" s="19" t="s">
        <v>28</v>
      </c>
      <c r="J204" s="20">
        <v>1</v>
      </c>
      <c r="K204" s="20">
        <v>47</v>
      </c>
      <c r="L204" s="33">
        <f>WorkmanshipResultsTable[[#This Row],[Number of Failed Units]]/WorkmanshipResultsTable[[#This Row],[Total Units Built]]</f>
        <v>2.1276595744680851E-2</v>
      </c>
      <c r="M204" s="25">
        <v>45302</v>
      </c>
      <c r="N204" s="19" t="s">
        <v>29</v>
      </c>
      <c r="O204" s="19" t="s">
        <v>30</v>
      </c>
      <c r="P204" s="20" t="s">
        <v>755</v>
      </c>
      <c r="Q204" s="19"/>
      <c r="R204" s="19"/>
      <c r="S204" s="19"/>
      <c r="T204" s="19"/>
      <c r="U204" s="21"/>
    </row>
    <row r="205" spans="1:21" ht="76.5">
      <c r="A205" s="19" t="s">
        <v>96</v>
      </c>
      <c r="B205" s="19" t="s">
        <v>531</v>
      </c>
      <c r="C205" s="19" t="s">
        <v>23</v>
      </c>
      <c r="D205" s="19" t="s">
        <v>756</v>
      </c>
      <c r="E205" s="19" t="s">
        <v>757</v>
      </c>
      <c r="F205" s="19"/>
      <c r="G205" s="19" t="s">
        <v>758</v>
      </c>
      <c r="H205" s="19" t="s">
        <v>759</v>
      </c>
      <c r="I205" s="19" t="s">
        <v>140</v>
      </c>
      <c r="J205" s="23">
        <v>3</v>
      </c>
      <c r="K205" s="23">
        <v>137</v>
      </c>
      <c r="L205" s="33">
        <f>IF(OR(J205="",K205="",K205=0),"",J205/K205)</f>
        <v>2.1897810218978103E-2</v>
      </c>
      <c r="M205" s="24" t="s">
        <v>760</v>
      </c>
      <c r="N205" s="19" t="s">
        <v>47</v>
      </c>
      <c r="O205" s="19" t="s">
        <v>761</v>
      </c>
      <c r="P205" s="20"/>
      <c r="Q205" s="19" t="s">
        <v>762</v>
      </c>
      <c r="R205" s="19" t="s">
        <v>763</v>
      </c>
      <c r="S205" s="19" t="s">
        <v>189</v>
      </c>
      <c r="T205" s="19" t="s">
        <v>764</v>
      </c>
      <c r="U205" s="21" t="s">
        <v>119</v>
      </c>
    </row>
    <row r="206" spans="1:21" ht="30.75">
      <c r="A206" s="19" t="s">
        <v>701</v>
      </c>
      <c r="B206" s="19" t="s">
        <v>41</v>
      </c>
      <c r="C206" s="19" t="s">
        <v>33</v>
      </c>
      <c r="D206" s="19" t="s">
        <v>623</v>
      </c>
      <c r="E206" s="19"/>
      <c r="F206" s="19" t="s">
        <v>765</v>
      </c>
      <c r="G206" s="19" t="s">
        <v>766</v>
      </c>
      <c r="H206" s="19" t="s">
        <v>767</v>
      </c>
      <c r="I206" s="19" t="s">
        <v>176</v>
      </c>
      <c r="J206" s="20">
        <v>1</v>
      </c>
      <c r="K206" s="20">
        <v>42</v>
      </c>
      <c r="L206" s="33">
        <f>WorkmanshipResultsTable[[#This Row],[Number of Failed Units]]/WorkmanshipResultsTable[[#This Row],[Total Units Built]]</f>
        <v>2.3809523809523808E-2</v>
      </c>
      <c r="M206" s="25">
        <v>45774</v>
      </c>
      <c r="N206" s="27" t="s">
        <v>47</v>
      </c>
      <c r="O206" s="19" t="s">
        <v>177</v>
      </c>
      <c r="P206" s="20"/>
      <c r="Q206" s="19"/>
      <c r="R206" s="19"/>
      <c r="S206" s="19"/>
      <c r="T206" s="19"/>
      <c r="U206" s="21"/>
    </row>
    <row r="207" spans="1:21" ht="60.75">
      <c r="A207" s="19" t="s">
        <v>662</v>
      </c>
      <c r="B207" s="19" t="s">
        <v>92</v>
      </c>
      <c r="C207" s="19" t="s">
        <v>23</v>
      </c>
      <c r="D207" s="19" t="s">
        <v>768</v>
      </c>
      <c r="E207" s="15" t="s">
        <v>769</v>
      </c>
      <c r="F207" s="19" t="s">
        <v>770</v>
      </c>
      <c r="G207" s="19" t="s">
        <v>771</v>
      </c>
      <c r="H207" s="19" t="s">
        <v>772</v>
      </c>
      <c r="I207" s="19" t="s">
        <v>130</v>
      </c>
      <c r="J207" s="20">
        <v>4</v>
      </c>
      <c r="K207" s="20">
        <v>165</v>
      </c>
      <c r="L207" s="35">
        <f>WorkmanshipResultsTable[[#This Row],[Number of Failed Units]]/WorkmanshipResultsTable[[#This Row],[Total Units Built]]</f>
        <v>2.4242424242424242E-2</v>
      </c>
      <c r="M207" s="26">
        <v>45981</v>
      </c>
      <c r="N207" s="19" t="s">
        <v>47</v>
      </c>
      <c r="O207" s="19" t="s">
        <v>131</v>
      </c>
      <c r="P207" s="20"/>
      <c r="Q207" s="19"/>
      <c r="R207" s="19"/>
      <c r="S207" s="19"/>
      <c r="T207" s="19"/>
      <c r="U207" s="39" t="s">
        <v>79</v>
      </c>
    </row>
    <row r="208" spans="1:21" ht="30.75">
      <c r="A208" s="19" t="s">
        <v>113</v>
      </c>
      <c r="B208" s="19" t="s">
        <v>92</v>
      </c>
      <c r="C208" s="19" t="s">
        <v>33</v>
      </c>
      <c r="D208" s="19" t="s">
        <v>773</v>
      </c>
      <c r="E208" s="19"/>
      <c r="F208" s="19" t="s">
        <v>774</v>
      </c>
      <c r="G208" s="19" t="s">
        <v>348</v>
      </c>
      <c r="H208" s="19" t="s">
        <v>349</v>
      </c>
      <c r="I208" s="19" t="s">
        <v>77</v>
      </c>
      <c r="J208" s="20">
        <v>1</v>
      </c>
      <c r="K208" s="20">
        <v>41</v>
      </c>
      <c r="L208" s="33">
        <f>WorkmanshipResultsTable[[#This Row],[Number of Failed Units]]/WorkmanshipResultsTable[[#This Row],[Total Units Built]]</f>
        <v>2.4390243902439025E-2</v>
      </c>
      <c r="M208" s="25">
        <v>45895</v>
      </c>
      <c r="N208" s="21" t="s">
        <v>47</v>
      </c>
      <c r="O208" s="19" t="s">
        <v>118</v>
      </c>
      <c r="P208" s="20"/>
      <c r="Q208" s="19"/>
      <c r="R208" s="19"/>
      <c r="S208" s="19"/>
      <c r="T208" s="19"/>
      <c r="U208" s="21" t="s">
        <v>119</v>
      </c>
    </row>
    <row r="209" spans="1:21" ht="30.75">
      <c r="A209" s="19" t="s">
        <v>113</v>
      </c>
      <c r="B209" s="19" t="s">
        <v>92</v>
      </c>
      <c r="C209" s="19" t="s">
        <v>33</v>
      </c>
      <c r="D209" s="19" t="s">
        <v>346</v>
      </c>
      <c r="E209" s="19"/>
      <c r="F209" s="19" t="s">
        <v>775</v>
      </c>
      <c r="G209" s="19" t="s">
        <v>348</v>
      </c>
      <c r="H209" s="19" t="s">
        <v>349</v>
      </c>
      <c r="I209" s="19" t="s">
        <v>77</v>
      </c>
      <c r="J209" s="20">
        <v>4</v>
      </c>
      <c r="K209" s="20">
        <v>164</v>
      </c>
      <c r="L209" s="33">
        <f>WorkmanshipResultsTable[[#This Row],[Number of Failed Units]]/WorkmanshipResultsTable[[#This Row],[Total Units Built]]</f>
        <v>2.4390243902439025E-2</v>
      </c>
      <c r="M209" s="20" t="s">
        <v>776</v>
      </c>
      <c r="N209" s="21" t="s">
        <v>47</v>
      </c>
      <c r="O209" s="19" t="s">
        <v>118</v>
      </c>
      <c r="P209" s="20"/>
      <c r="Q209" s="19"/>
      <c r="R209" s="19"/>
      <c r="S209" s="19"/>
      <c r="T209" s="19"/>
      <c r="U209" s="21" t="s">
        <v>119</v>
      </c>
    </row>
    <row r="210" spans="1:21" ht="45.75">
      <c r="A210" s="19" t="s">
        <v>157</v>
      </c>
      <c r="B210" s="19" t="s">
        <v>41</v>
      </c>
      <c r="C210" s="19" t="s">
        <v>23</v>
      </c>
      <c r="D210" s="19" t="s">
        <v>158</v>
      </c>
      <c r="E210" s="19" t="s">
        <v>159</v>
      </c>
      <c r="F210" s="19" t="s">
        <v>777</v>
      </c>
      <c r="G210" s="19" t="s">
        <v>778</v>
      </c>
      <c r="H210" s="19" t="s">
        <v>779</v>
      </c>
      <c r="I210" s="22" t="s">
        <v>38</v>
      </c>
      <c r="J210" s="20">
        <v>3</v>
      </c>
      <c r="K210" s="20">
        <v>120</v>
      </c>
      <c r="L210" s="35">
        <f>WorkmanshipResultsTable[[#This Row],[Number of Failed Units]]/WorkmanshipResultsTable[[#This Row],[Total Units Built]]</f>
        <v>2.5000000000000001E-2</v>
      </c>
      <c r="M210" s="25">
        <v>45403</v>
      </c>
      <c r="N210" s="19" t="s">
        <v>47</v>
      </c>
      <c r="O210" s="19" t="s">
        <v>162</v>
      </c>
      <c r="P210" s="20"/>
      <c r="Q210" s="19"/>
      <c r="R210" s="19"/>
      <c r="S210" s="19"/>
      <c r="T210" s="19"/>
      <c r="U210" s="21"/>
    </row>
    <row r="211" spans="1:21" ht="76.5">
      <c r="A211" s="19" t="s">
        <v>113</v>
      </c>
      <c r="B211" s="19" t="s">
        <v>92</v>
      </c>
      <c r="C211" s="19" t="s">
        <v>33</v>
      </c>
      <c r="D211" s="19" t="s">
        <v>780</v>
      </c>
      <c r="E211" s="19"/>
      <c r="F211" s="19" t="s">
        <v>781</v>
      </c>
      <c r="G211" s="19" t="s">
        <v>782</v>
      </c>
      <c r="H211" s="19" t="s">
        <v>783</v>
      </c>
      <c r="I211" s="19" t="s">
        <v>77</v>
      </c>
      <c r="J211" s="20">
        <v>1</v>
      </c>
      <c r="K211" s="20">
        <v>39</v>
      </c>
      <c r="L211" s="33">
        <f>WorkmanshipResultsTable[[#This Row],[Number of Failed Units]]/WorkmanshipResultsTable[[#This Row],[Total Units Built]]</f>
        <v>2.564102564102564E-2</v>
      </c>
      <c r="M211" s="20" t="s">
        <v>784</v>
      </c>
      <c r="N211" s="21" t="s">
        <v>47</v>
      </c>
      <c r="O211" s="19" t="s">
        <v>118</v>
      </c>
      <c r="P211" s="20"/>
      <c r="Q211" s="19"/>
      <c r="R211" s="19"/>
      <c r="S211" s="19"/>
      <c r="T211" s="19"/>
      <c r="U211" s="21" t="s">
        <v>119</v>
      </c>
    </row>
    <row r="212" spans="1:21" ht="30.75">
      <c r="A212" s="19" t="s">
        <v>113</v>
      </c>
      <c r="B212" s="19" t="s">
        <v>92</v>
      </c>
      <c r="C212" s="19" t="s">
        <v>33</v>
      </c>
      <c r="D212" s="19" t="s">
        <v>780</v>
      </c>
      <c r="E212" s="19"/>
      <c r="F212" s="19" t="s">
        <v>785</v>
      </c>
      <c r="G212" s="19" t="s">
        <v>348</v>
      </c>
      <c r="H212" s="19" t="s">
        <v>349</v>
      </c>
      <c r="I212" s="19" t="s">
        <v>77</v>
      </c>
      <c r="J212" s="20">
        <v>1</v>
      </c>
      <c r="K212" s="20">
        <v>39</v>
      </c>
      <c r="L212" s="33">
        <f>WorkmanshipResultsTable[[#This Row],[Number of Failed Units]]/WorkmanshipResultsTable[[#This Row],[Total Units Built]]</f>
        <v>2.564102564102564E-2</v>
      </c>
      <c r="M212" s="20" t="s">
        <v>784</v>
      </c>
      <c r="N212" s="21" t="s">
        <v>47</v>
      </c>
      <c r="O212" s="19" t="s">
        <v>118</v>
      </c>
      <c r="P212" s="20"/>
      <c r="Q212" s="19"/>
      <c r="R212" s="19"/>
      <c r="S212" s="19"/>
      <c r="T212" s="19"/>
      <c r="U212" s="21" t="s">
        <v>119</v>
      </c>
    </row>
    <row r="213" spans="1:21" ht="91.5">
      <c r="A213" s="19" t="s">
        <v>574</v>
      </c>
      <c r="B213" s="19" t="s">
        <v>41</v>
      </c>
      <c r="C213" s="19" t="s">
        <v>33</v>
      </c>
      <c r="D213" s="19" t="s">
        <v>786</v>
      </c>
      <c r="E213" s="19"/>
      <c r="F213" s="19" t="s">
        <v>787</v>
      </c>
      <c r="G213" s="19" t="s">
        <v>788</v>
      </c>
      <c r="H213" s="19" t="s">
        <v>789</v>
      </c>
      <c r="I213" s="19" t="s">
        <v>176</v>
      </c>
      <c r="J213" s="20">
        <v>1</v>
      </c>
      <c r="K213" s="20">
        <v>39</v>
      </c>
      <c r="L213" s="33">
        <f>WorkmanshipResultsTable[[#This Row],[Number of Failed Units]]/WorkmanshipResultsTable[[#This Row],[Total Units Built]]</f>
        <v>2.564102564102564E-2</v>
      </c>
      <c r="M213" s="25">
        <v>46175</v>
      </c>
      <c r="N213" s="27" t="s">
        <v>47</v>
      </c>
      <c r="O213" s="19" t="s">
        <v>177</v>
      </c>
      <c r="P213" s="20"/>
      <c r="Q213" s="19"/>
      <c r="R213" s="19"/>
      <c r="S213" s="19"/>
      <c r="T213" s="19"/>
      <c r="U213" s="21"/>
    </row>
    <row r="214" spans="1:21">
      <c r="A214" s="19" t="s">
        <v>21</v>
      </c>
      <c r="B214" s="19" t="s">
        <v>92</v>
      </c>
      <c r="C214" s="19" t="s">
        <v>23</v>
      </c>
      <c r="D214" s="19" t="s">
        <v>281</v>
      </c>
      <c r="E214" s="19" t="s">
        <v>282</v>
      </c>
      <c r="F214" s="19" t="s">
        <v>790</v>
      </c>
      <c r="G214" s="19" t="s">
        <v>92</v>
      </c>
      <c r="H214" s="19" t="s">
        <v>27</v>
      </c>
      <c r="I214" s="19" t="s">
        <v>28</v>
      </c>
      <c r="J214" s="20">
        <v>1</v>
      </c>
      <c r="K214" s="20">
        <v>39</v>
      </c>
      <c r="L214" s="33">
        <f>WorkmanshipResultsTable[[#This Row],[Number of Failed Units]]/WorkmanshipResultsTable[[#This Row],[Total Units Built]]</f>
        <v>2.564102564102564E-2</v>
      </c>
      <c r="M214" s="25">
        <v>45428</v>
      </c>
      <c r="N214" s="19" t="s">
        <v>29</v>
      </c>
      <c r="O214" s="19" t="s">
        <v>30</v>
      </c>
      <c r="P214" s="20" t="s">
        <v>791</v>
      </c>
      <c r="Q214" s="19"/>
      <c r="R214" s="19"/>
      <c r="S214" s="19"/>
      <c r="T214" s="19"/>
      <c r="U214" s="21"/>
    </row>
    <row r="215" spans="1:21" ht="60.75">
      <c r="A215" s="19" t="s">
        <v>543</v>
      </c>
      <c r="B215" s="19" t="s">
        <v>41</v>
      </c>
      <c r="C215" s="19" t="s">
        <v>23</v>
      </c>
      <c r="D215" s="32" t="s">
        <v>158</v>
      </c>
      <c r="E215" s="19" t="s">
        <v>159</v>
      </c>
      <c r="F215" s="19" t="s">
        <v>792</v>
      </c>
      <c r="G215" s="19" t="s">
        <v>793</v>
      </c>
      <c r="H215" s="19"/>
      <c r="I215" s="22" t="s">
        <v>38</v>
      </c>
      <c r="J215" s="20">
        <v>4</v>
      </c>
      <c r="K215" s="20">
        <v>153</v>
      </c>
      <c r="L215" s="35">
        <f>WorkmanshipResultsTable[[#This Row],[Number of Failed Units]]/WorkmanshipResultsTable[[#This Row],[Total Units Built]]</f>
        <v>2.6143790849673203E-2</v>
      </c>
      <c r="M215" s="25">
        <v>45410</v>
      </c>
      <c r="N215" s="19" t="s">
        <v>47</v>
      </c>
      <c r="O215" s="19" t="s">
        <v>162</v>
      </c>
      <c r="P215" s="20"/>
      <c r="Q215" s="19"/>
      <c r="R215" s="19"/>
      <c r="S215" s="19"/>
      <c r="T215" s="19"/>
      <c r="U215" s="21"/>
    </row>
    <row r="216" spans="1:21" ht="106.5">
      <c r="A216" s="19" t="s">
        <v>444</v>
      </c>
      <c r="B216" s="19" t="s">
        <v>41</v>
      </c>
      <c r="C216" s="19" t="s">
        <v>23</v>
      </c>
      <c r="D216" s="19" t="s">
        <v>158</v>
      </c>
      <c r="E216" s="19" t="s">
        <v>159</v>
      </c>
      <c r="F216" s="19" t="s">
        <v>794</v>
      </c>
      <c r="G216" s="19" t="s">
        <v>795</v>
      </c>
      <c r="H216" s="19" t="s">
        <v>796</v>
      </c>
      <c r="I216" s="22" t="s">
        <v>38</v>
      </c>
      <c r="J216" s="20">
        <v>8</v>
      </c>
      <c r="K216" s="20">
        <v>305</v>
      </c>
      <c r="L216" s="33">
        <f>WorkmanshipResultsTable[[#This Row],[Number of Failed Units]]/WorkmanshipResultsTable[[#This Row],[Total Units Built]]</f>
        <v>2.6229508196721311E-2</v>
      </c>
      <c r="M216" s="25">
        <v>45585</v>
      </c>
      <c r="N216" s="19" t="s">
        <v>47</v>
      </c>
      <c r="O216" s="19" t="s">
        <v>162</v>
      </c>
      <c r="P216" s="20"/>
      <c r="Q216" s="19"/>
      <c r="R216" s="19"/>
      <c r="S216" s="19"/>
      <c r="T216" s="19"/>
      <c r="U216" s="21"/>
    </row>
    <row r="217" spans="1:21" ht="60.75">
      <c r="A217" s="19" t="s">
        <v>113</v>
      </c>
      <c r="B217" s="19" t="s">
        <v>41</v>
      </c>
      <c r="C217" s="19" t="s">
        <v>23</v>
      </c>
      <c r="D217" s="19" t="s">
        <v>125</v>
      </c>
      <c r="E217" s="19" t="s">
        <v>234</v>
      </c>
      <c r="F217" s="19" t="s">
        <v>797</v>
      </c>
      <c r="G217" s="19" t="s">
        <v>798</v>
      </c>
      <c r="H217" s="19" t="s">
        <v>237</v>
      </c>
      <c r="I217" s="19" t="s">
        <v>130</v>
      </c>
      <c r="J217" s="20">
        <v>4</v>
      </c>
      <c r="K217" s="20">
        <v>147</v>
      </c>
      <c r="L217" s="35">
        <f>WorkmanshipResultsTable[[#This Row],[Number of Failed Units]]/WorkmanshipResultsTable[[#This Row],[Total Units Built]]</f>
        <v>2.7210884353741496E-2</v>
      </c>
      <c r="M217" s="26">
        <v>46052</v>
      </c>
      <c r="N217" s="19" t="s">
        <v>47</v>
      </c>
      <c r="O217" s="19" t="s">
        <v>131</v>
      </c>
      <c r="P217" s="20"/>
      <c r="Q217" s="19"/>
      <c r="R217" s="19"/>
      <c r="S217" s="19"/>
      <c r="T217" s="19"/>
      <c r="U217" s="39" t="s">
        <v>79</v>
      </c>
    </row>
    <row r="218" spans="1:21" ht="30.75">
      <c r="A218" s="19" t="s">
        <v>21</v>
      </c>
      <c r="B218" s="19" t="s">
        <v>41</v>
      </c>
      <c r="C218" s="19" t="s">
        <v>33</v>
      </c>
      <c r="D218" s="19" t="s">
        <v>171</v>
      </c>
      <c r="E218" s="19"/>
      <c r="F218" s="19" t="s">
        <v>799</v>
      </c>
      <c r="G218" s="19" t="s">
        <v>572</v>
      </c>
      <c r="H218" s="19" t="s">
        <v>800</v>
      </c>
      <c r="I218" s="19" t="s">
        <v>46</v>
      </c>
      <c r="J218" s="20">
        <v>4</v>
      </c>
      <c r="K218" s="20">
        <v>146</v>
      </c>
      <c r="L218" s="33">
        <f>WorkmanshipResultsTable[[#This Row],[Number of Failed Units]]/WorkmanshipResultsTable[[#This Row],[Total Units Built]]</f>
        <v>2.7397260273972601E-2</v>
      </c>
      <c r="M218" s="25">
        <v>45569</v>
      </c>
      <c r="N218" s="19" t="s">
        <v>47</v>
      </c>
      <c r="O218" s="19" t="s">
        <v>48</v>
      </c>
      <c r="P218" s="20"/>
      <c r="Q218" s="19"/>
      <c r="R218" s="19"/>
      <c r="S218" s="19"/>
      <c r="T218" s="19"/>
      <c r="U218" s="21"/>
    </row>
    <row r="219" spans="1:21" ht="60.75">
      <c r="A219" s="19" t="s">
        <v>21</v>
      </c>
      <c r="B219" s="19" t="s">
        <v>41</v>
      </c>
      <c r="C219" s="19" t="s">
        <v>33</v>
      </c>
      <c r="D219" s="19" t="s">
        <v>64</v>
      </c>
      <c r="E219" s="19"/>
      <c r="F219" s="19" t="s">
        <v>801</v>
      </c>
      <c r="G219" s="19" t="s">
        <v>802</v>
      </c>
      <c r="H219" s="19" t="s">
        <v>803</v>
      </c>
      <c r="I219" s="19" t="s">
        <v>46</v>
      </c>
      <c r="J219" s="20">
        <v>19</v>
      </c>
      <c r="K219" s="20">
        <v>691</v>
      </c>
      <c r="L219" s="33">
        <f>WorkmanshipResultsTable[[#This Row],[Number of Failed Units]]/WorkmanshipResultsTable[[#This Row],[Total Units Built]]</f>
        <v>2.7496382054992764E-2</v>
      </c>
      <c r="M219" s="25">
        <v>45746</v>
      </c>
      <c r="N219" s="19" t="s">
        <v>47</v>
      </c>
      <c r="O219" s="19" t="s">
        <v>48</v>
      </c>
      <c r="P219" s="20"/>
      <c r="Q219" s="19"/>
      <c r="R219" s="19"/>
      <c r="S219" s="19"/>
      <c r="T219" s="19"/>
      <c r="U219" s="21"/>
    </row>
    <row r="220" spans="1:21" ht="30.75">
      <c r="A220" s="19" t="s">
        <v>113</v>
      </c>
      <c r="B220" s="19" t="s">
        <v>92</v>
      </c>
      <c r="C220" s="19" t="s">
        <v>33</v>
      </c>
      <c r="D220" s="19" t="s">
        <v>346</v>
      </c>
      <c r="E220" s="19"/>
      <c r="F220" s="19" t="s">
        <v>804</v>
      </c>
      <c r="G220" s="19" t="s">
        <v>348</v>
      </c>
      <c r="H220" s="19" t="s">
        <v>349</v>
      </c>
      <c r="I220" s="19" t="s">
        <v>77</v>
      </c>
      <c r="J220" s="20">
        <v>1</v>
      </c>
      <c r="K220" s="20">
        <v>36</v>
      </c>
      <c r="L220" s="33">
        <f>WorkmanshipResultsTable[[#This Row],[Number of Failed Units]]/WorkmanshipResultsTable[[#This Row],[Total Units Built]]</f>
        <v>2.7777777777777776E-2</v>
      </c>
      <c r="M220" s="20" t="s">
        <v>805</v>
      </c>
      <c r="N220" s="21" t="s">
        <v>47</v>
      </c>
      <c r="O220" s="19" t="s">
        <v>118</v>
      </c>
      <c r="P220" s="20"/>
      <c r="Q220" s="19"/>
      <c r="R220" s="19"/>
      <c r="S220" s="19"/>
      <c r="T220" s="19"/>
      <c r="U220" s="21" t="s">
        <v>119</v>
      </c>
    </row>
    <row r="221" spans="1:21" ht="76.5">
      <c r="A221" s="19" t="s">
        <v>21</v>
      </c>
      <c r="B221" s="19" t="s">
        <v>22</v>
      </c>
      <c r="C221" s="19" t="s">
        <v>33</v>
      </c>
      <c r="D221" s="19" t="s">
        <v>695</v>
      </c>
      <c r="E221" s="19" t="s">
        <v>806</v>
      </c>
      <c r="F221" s="19" t="s">
        <v>807</v>
      </c>
      <c r="G221" s="19" t="s">
        <v>808</v>
      </c>
      <c r="H221" s="19" t="s">
        <v>809</v>
      </c>
      <c r="I221" s="19" t="s">
        <v>176</v>
      </c>
      <c r="J221" s="20">
        <v>1</v>
      </c>
      <c r="K221" s="20">
        <v>35</v>
      </c>
      <c r="L221" s="33">
        <f>WorkmanshipResultsTable[[#This Row],[Number of Failed Units]]/WorkmanshipResultsTable[[#This Row],[Total Units Built]]</f>
        <v>2.8571428571428571E-2</v>
      </c>
      <c r="M221" s="25">
        <v>45770</v>
      </c>
      <c r="N221" s="21" t="s">
        <v>29</v>
      </c>
      <c r="O221" s="19" t="s">
        <v>90</v>
      </c>
      <c r="P221" s="20" t="s">
        <v>810</v>
      </c>
      <c r="Q221" s="19"/>
      <c r="R221" s="19"/>
      <c r="S221" s="19"/>
      <c r="T221" s="19"/>
      <c r="U221" s="21" t="s">
        <v>699</v>
      </c>
    </row>
    <row r="222" spans="1:21" ht="30.75">
      <c r="A222" s="19" t="s">
        <v>21</v>
      </c>
      <c r="B222" s="19" t="s">
        <v>41</v>
      </c>
      <c r="C222" s="19" t="s">
        <v>33</v>
      </c>
      <c r="D222" s="19" t="s">
        <v>52</v>
      </c>
      <c r="E222" s="19"/>
      <c r="F222" s="19" t="s">
        <v>811</v>
      </c>
      <c r="G222" s="19" t="s">
        <v>382</v>
      </c>
      <c r="H222" s="19" t="s">
        <v>812</v>
      </c>
      <c r="I222" s="19" t="s">
        <v>46</v>
      </c>
      <c r="J222" s="20">
        <v>10</v>
      </c>
      <c r="K222" s="20">
        <v>349</v>
      </c>
      <c r="L222" s="33">
        <f>WorkmanshipResultsTable[[#This Row],[Number of Failed Units]]/WorkmanshipResultsTable[[#This Row],[Total Units Built]]</f>
        <v>2.865329512893983E-2</v>
      </c>
      <c r="M222" s="25">
        <v>45377</v>
      </c>
      <c r="N222" s="19" t="s">
        <v>47</v>
      </c>
      <c r="O222" s="19" t="s">
        <v>48</v>
      </c>
      <c r="P222" s="20"/>
      <c r="Q222" s="19"/>
      <c r="R222" s="19"/>
      <c r="S222" s="19"/>
      <c r="T222" s="19"/>
      <c r="U222" s="21"/>
    </row>
    <row r="223" spans="1:21" ht="45.75">
      <c r="A223" s="19" t="s">
        <v>21</v>
      </c>
      <c r="B223" s="19" t="s">
        <v>63</v>
      </c>
      <c r="C223" s="19" t="s">
        <v>33</v>
      </c>
      <c r="D223" s="19" t="s">
        <v>623</v>
      </c>
      <c r="E223" s="19"/>
      <c r="F223" s="19" t="s">
        <v>813</v>
      </c>
      <c r="G223" s="19" t="s">
        <v>814</v>
      </c>
      <c r="H223" s="19" t="s">
        <v>815</v>
      </c>
      <c r="I223" s="19" t="s">
        <v>46</v>
      </c>
      <c r="J223" s="20">
        <v>1</v>
      </c>
      <c r="K223" s="20">
        <v>34</v>
      </c>
      <c r="L223" s="33">
        <f>WorkmanshipResultsTable[[#This Row],[Number of Failed Units]]/WorkmanshipResultsTable[[#This Row],[Total Units Built]]</f>
        <v>2.9411764705882353E-2</v>
      </c>
      <c r="M223" s="25">
        <v>45814</v>
      </c>
      <c r="N223" s="19" t="s">
        <v>47</v>
      </c>
      <c r="O223" s="19" t="s">
        <v>48</v>
      </c>
      <c r="P223" s="20"/>
      <c r="Q223" s="19"/>
      <c r="R223" s="19"/>
      <c r="S223" s="19"/>
      <c r="T223" s="19"/>
      <c r="U223" s="21"/>
    </row>
    <row r="224" spans="1:21" ht="259.5">
      <c r="A224" s="19" t="s">
        <v>21</v>
      </c>
      <c r="B224" s="19" t="s">
        <v>73</v>
      </c>
      <c r="C224" s="19" t="s">
        <v>33</v>
      </c>
      <c r="D224" s="19" t="s">
        <v>582</v>
      </c>
      <c r="E224" s="19"/>
      <c r="F224" s="19" t="s">
        <v>816</v>
      </c>
      <c r="G224" s="19" t="s">
        <v>632</v>
      </c>
      <c r="H224" s="19" t="s">
        <v>633</v>
      </c>
      <c r="I224" s="19" t="s">
        <v>46</v>
      </c>
      <c r="J224" s="20">
        <v>1</v>
      </c>
      <c r="K224" s="20">
        <v>34</v>
      </c>
      <c r="L224" s="33">
        <f>WorkmanshipResultsTable[[#This Row],[Number of Failed Units]]/WorkmanshipResultsTable[[#This Row],[Total Units Built]]</f>
        <v>2.9411764705882353E-2</v>
      </c>
      <c r="M224" s="25">
        <v>45674</v>
      </c>
      <c r="N224" s="19" t="s">
        <v>47</v>
      </c>
      <c r="O224" s="19" t="s">
        <v>48</v>
      </c>
      <c r="P224" s="20"/>
      <c r="Q224" s="19"/>
      <c r="R224" s="19"/>
      <c r="S224" s="19"/>
      <c r="T224" s="19"/>
      <c r="U224" s="21"/>
    </row>
    <row r="225" spans="1:21">
      <c r="A225" s="19" t="s">
        <v>21</v>
      </c>
      <c r="B225" s="19" t="s">
        <v>751</v>
      </c>
      <c r="C225" s="19" t="s">
        <v>23</v>
      </c>
      <c r="D225" s="19" t="s">
        <v>817</v>
      </c>
      <c r="E225" s="19" t="s">
        <v>818</v>
      </c>
      <c r="F225" s="19" t="s">
        <v>819</v>
      </c>
      <c r="G225" s="19" t="s">
        <v>751</v>
      </c>
      <c r="H225" s="19" t="s">
        <v>820</v>
      </c>
      <c r="I225" s="19" t="s">
        <v>28</v>
      </c>
      <c r="J225" s="20">
        <v>1</v>
      </c>
      <c r="K225" s="20">
        <v>33</v>
      </c>
      <c r="L225" s="33">
        <f>WorkmanshipResultsTable[[#This Row],[Number of Failed Units]]/WorkmanshipResultsTable[[#This Row],[Total Units Built]]</f>
        <v>3.0303030303030304E-2</v>
      </c>
      <c r="M225" s="25">
        <v>45506</v>
      </c>
      <c r="N225" s="19" t="s">
        <v>29</v>
      </c>
      <c r="O225" s="19" t="s">
        <v>30</v>
      </c>
      <c r="P225" s="20" t="s">
        <v>821</v>
      </c>
      <c r="Q225" s="19"/>
      <c r="R225" s="19"/>
      <c r="S225" s="19"/>
      <c r="T225" s="19"/>
      <c r="U225" s="21"/>
    </row>
    <row r="226" spans="1:21" ht="45.75">
      <c r="A226" s="19" t="s">
        <v>662</v>
      </c>
      <c r="B226" s="19" t="s">
        <v>41</v>
      </c>
      <c r="C226" s="19" t="s">
        <v>23</v>
      </c>
      <c r="D226" s="19" t="s">
        <v>728</v>
      </c>
      <c r="E226" s="19" t="s">
        <v>390</v>
      </c>
      <c r="F226" s="19" t="s">
        <v>822</v>
      </c>
      <c r="G226" s="19" t="s">
        <v>823</v>
      </c>
      <c r="H226" s="19" t="s">
        <v>473</v>
      </c>
      <c r="I226" s="19" t="s">
        <v>130</v>
      </c>
      <c r="J226" s="20">
        <v>3</v>
      </c>
      <c r="K226" s="20">
        <v>99</v>
      </c>
      <c r="L226" s="35">
        <f>WorkmanshipResultsTable[[#This Row],[Number of Failed Units]]/WorkmanshipResultsTable[[#This Row],[Total Units Built]]</f>
        <v>3.0303030303030304E-2</v>
      </c>
      <c r="M226" s="26">
        <v>45968</v>
      </c>
      <c r="N226" s="19" t="s">
        <v>47</v>
      </c>
      <c r="O226" s="19" t="s">
        <v>131</v>
      </c>
      <c r="P226" s="20"/>
      <c r="Q226" s="19"/>
      <c r="R226" s="19"/>
      <c r="S226" s="19"/>
      <c r="T226" s="19"/>
      <c r="U226" s="39" t="s">
        <v>79</v>
      </c>
    </row>
    <row r="227" spans="1:21" ht="45.75">
      <c r="A227" s="19" t="s">
        <v>425</v>
      </c>
      <c r="B227" s="19" t="s">
        <v>41</v>
      </c>
      <c r="C227" s="19" t="s">
        <v>23</v>
      </c>
      <c r="D227" s="19" t="s">
        <v>824</v>
      </c>
      <c r="E227" s="19" t="s">
        <v>825</v>
      </c>
      <c r="F227" s="19"/>
      <c r="G227" s="19" t="s">
        <v>826</v>
      </c>
      <c r="H227" s="19" t="s">
        <v>827</v>
      </c>
      <c r="I227" s="19" t="s">
        <v>130</v>
      </c>
      <c r="J227" s="20">
        <v>7</v>
      </c>
      <c r="K227" s="20">
        <v>229</v>
      </c>
      <c r="L227" s="35">
        <f>WorkmanshipResultsTable[[#This Row],[Number of Failed Units]]/WorkmanshipResultsTable[[#This Row],[Total Units Built]]</f>
        <v>3.0567685589519649E-2</v>
      </c>
      <c r="M227" s="25">
        <v>46180</v>
      </c>
      <c r="N227" s="19" t="s">
        <v>47</v>
      </c>
      <c r="O227" s="19" t="s">
        <v>131</v>
      </c>
      <c r="P227" s="20"/>
      <c r="Q227" s="19"/>
      <c r="R227" s="19" t="s">
        <v>429</v>
      </c>
      <c r="S227" s="19"/>
      <c r="T227" s="19"/>
      <c r="U227" s="39" t="s">
        <v>119</v>
      </c>
    </row>
    <row r="228" spans="1:21" ht="106.5">
      <c r="A228" s="19" t="s">
        <v>21</v>
      </c>
      <c r="B228" s="19" t="s">
        <v>41</v>
      </c>
      <c r="C228" s="19" t="s">
        <v>33</v>
      </c>
      <c r="D228" s="19" t="s">
        <v>171</v>
      </c>
      <c r="E228" s="19"/>
      <c r="F228" s="19" t="s">
        <v>828</v>
      </c>
      <c r="G228" s="19" t="s">
        <v>829</v>
      </c>
      <c r="H228" s="19" t="s">
        <v>830</v>
      </c>
      <c r="I228" s="19" t="s">
        <v>46</v>
      </c>
      <c r="J228" s="20">
        <v>3</v>
      </c>
      <c r="K228" s="20">
        <v>96</v>
      </c>
      <c r="L228" s="33">
        <f>WorkmanshipResultsTable[[#This Row],[Number of Failed Units]]/WorkmanshipResultsTable[[#This Row],[Total Units Built]]</f>
        <v>3.125E-2</v>
      </c>
      <c r="M228" s="25">
        <v>45618</v>
      </c>
      <c r="N228" s="19" t="s">
        <v>47</v>
      </c>
      <c r="O228" s="19" t="s">
        <v>48</v>
      </c>
      <c r="P228" s="20"/>
      <c r="Q228" s="19"/>
      <c r="R228" s="19"/>
      <c r="S228" s="19"/>
      <c r="T228" s="19"/>
      <c r="U228" s="21"/>
    </row>
    <row r="229" spans="1:21" ht="45.75">
      <c r="A229" s="19" t="s">
        <v>21</v>
      </c>
      <c r="B229" s="19" t="s">
        <v>63</v>
      </c>
      <c r="C229" s="19" t="s">
        <v>33</v>
      </c>
      <c r="D229" s="19" t="s">
        <v>171</v>
      </c>
      <c r="E229" s="19"/>
      <c r="F229" s="19" t="s">
        <v>831</v>
      </c>
      <c r="G229" s="19" t="s">
        <v>832</v>
      </c>
      <c r="H229" s="19" t="s">
        <v>833</v>
      </c>
      <c r="I229" s="19" t="s">
        <v>46</v>
      </c>
      <c r="J229" s="20">
        <v>5</v>
      </c>
      <c r="K229" s="20">
        <v>159</v>
      </c>
      <c r="L229" s="33">
        <f>WorkmanshipResultsTable[[#This Row],[Number of Failed Units]]/WorkmanshipResultsTable[[#This Row],[Total Units Built]]</f>
        <v>3.1446540880503145E-2</v>
      </c>
      <c r="M229" s="25">
        <v>45572</v>
      </c>
      <c r="N229" s="19" t="s">
        <v>47</v>
      </c>
      <c r="O229" s="19" t="s">
        <v>48</v>
      </c>
      <c r="P229" s="20"/>
      <c r="Q229" s="19"/>
      <c r="R229" s="19"/>
      <c r="S229" s="19"/>
      <c r="T229" s="19"/>
      <c r="U229" s="21"/>
    </row>
    <row r="230" spans="1:21" ht="76.5">
      <c r="A230" s="19" t="s">
        <v>113</v>
      </c>
      <c r="B230" s="19" t="s">
        <v>73</v>
      </c>
      <c r="C230" s="19" t="s">
        <v>33</v>
      </c>
      <c r="D230" s="19" t="s">
        <v>834</v>
      </c>
      <c r="E230" s="19"/>
      <c r="F230" s="19" t="s">
        <v>835</v>
      </c>
      <c r="G230" s="19" t="s">
        <v>836</v>
      </c>
      <c r="H230" s="19" t="s">
        <v>837</v>
      </c>
      <c r="I230" s="19" t="s">
        <v>77</v>
      </c>
      <c r="J230" s="20">
        <v>1</v>
      </c>
      <c r="K230" s="20">
        <v>31</v>
      </c>
      <c r="L230" s="33">
        <f>WorkmanshipResultsTable[[#This Row],[Number of Failed Units]]/WorkmanshipResultsTable[[#This Row],[Total Units Built]]</f>
        <v>3.2258064516129031E-2</v>
      </c>
      <c r="M230" s="20" t="s">
        <v>727</v>
      </c>
      <c r="N230" s="21" t="s">
        <v>47</v>
      </c>
      <c r="O230" s="19" t="s">
        <v>118</v>
      </c>
      <c r="P230" s="20"/>
      <c r="Q230" s="19"/>
      <c r="R230" s="19"/>
      <c r="S230" s="19"/>
      <c r="T230" s="19"/>
      <c r="U230" s="21" t="s">
        <v>119</v>
      </c>
    </row>
    <row r="231" spans="1:21" ht="45.75">
      <c r="A231" s="19" t="s">
        <v>21</v>
      </c>
      <c r="B231" s="19" t="s">
        <v>22</v>
      </c>
      <c r="C231" s="19" t="s">
        <v>23</v>
      </c>
      <c r="D231" s="19" t="s">
        <v>838</v>
      </c>
      <c r="E231" s="19" t="s">
        <v>839</v>
      </c>
      <c r="F231" s="19" t="s">
        <v>840</v>
      </c>
      <c r="G231" s="19" t="s">
        <v>22</v>
      </c>
      <c r="H231" s="19" t="s">
        <v>27</v>
      </c>
      <c r="I231" s="19" t="s">
        <v>28</v>
      </c>
      <c r="J231" s="20">
        <v>1</v>
      </c>
      <c r="K231" s="20">
        <v>31</v>
      </c>
      <c r="L231" s="33">
        <f>WorkmanshipResultsTable[[#This Row],[Number of Failed Units]]/WorkmanshipResultsTable[[#This Row],[Total Units Built]]</f>
        <v>3.2258064516129031E-2</v>
      </c>
      <c r="M231" s="25">
        <v>45449</v>
      </c>
      <c r="N231" s="19" t="s">
        <v>29</v>
      </c>
      <c r="O231" s="19" t="s">
        <v>30</v>
      </c>
      <c r="P231" s="20" t="s">
        <v>841</v>
      </c>
      <c r="Q231" s="19"/>
      <c r="R231" s="19"/>
      <c r="S231" s="19"/>
      <c r="T231" s="19"/>
      <c r="U231" s="21"/>
    </row>
    <row r="232" spans="1:21" ht="45.75">
      <c r="A232" s="19" t="s">
        <v>21</v>
      </c>
      <c r="B232" s="19" t="s">
        <v>63</v>
      </c>
      <c r="C232" s="19" t="s">
        <v>33</v>
      </c>
      <c r="D232" s="19" t="s">
        <v>842</v>
      </c>
      <c r="E232" s="19"/>
      <c r="F232" s="19" t="s">
        <v>843</v>
      </c>
      <c r="G232" s="19" t="s">
        <v>844</v>
      </c>
      <c r="H232" s="19" t="s">
        <v>845</v>
      </c>
      <c r="I232" s="19" t="s">
        <v>46</v>
      </c>
      <c r="J232" s="20">
        <v>7</v>
      </c>
      <c r="K232" s="20">
        <v>214</v>
      </c>
      <c r="L232" s="33">
        <f>WorkmanshipResultsTable[[#This Row],[Number of Failed Units]]/WorkmanshipResultsTable[[#This Row],[Total Units Built]]</f>
        <v>3.2710280373831772E-2</v>
      </c>
      <c r="M232" s="25">
        <v>45678</v>
      </c>
      <c r="N232" s="19" t="s">
        <v>47</v>
      </c>
      <c r="O232" s="19" t="s">
        <v>48</v>
      </c>
      <c r="P232" s="20"/>
      <c r="Q232" s="19"/>
      <c r="R232" s="19"/>
      <c r="S232" s="19"/>
      <c r="T232" s="19"/>
      <c r="U232" s="21"/>
    </row>
    <row r="233" spans="1:21" ht="91.5">
      <c r="A233" s="19" t="s">
        <v>96</v>
      </c>
      <c r="B233" s="19" t="s">
        <v>531</v>
      </c>
      <c r="C233" s="19" t="s">
        <v>23</v>
      </c>
      <c r="D233" s="19" t="s">
        <v>181</v>
      </c>
      <c r="E233" s="19" t="s">
        <v>846</v>
      </c>
      <c r="F233" s="19"/>
      <c r="G233" s="19" t="s">
        <v>847</v>
      </c>
      <c r="H233" s="19" t="s">
        <v>848</v>
      </c>
      <c r="I233" s="22" t="s">
        <v>140</v>
      </c>
      <c r="J233" s="23">
        <v>5</v>
      </c>
      <c r="K233" s="23">
        <v>149</v>
      </c>
      <c r="L233" s="33">
        <f>IF(OR(J233="",K233="",K233=0),"",J233/K233)</f>
        <v>3.3557046979865772E-2</v>
      </c>
      <c r="M233" s="24" t="s">
        <v>849</v>
      </c>
      <c r="N233" s="19" t="s">
        <v>47</v>
      </c>
      <c r="O233" s="19" t="s">
        <v>850</v>
      </c>
      <c r="P233" s="20"/>
      <c r="Q233" s="19" t="s">
        <v>851</v>
      </c>
      <c r="R233" s="19" t="s">
        <v>852</v>
      </c>
      <c r="S233" s="19" t="s">
        <v>189</v>
      </c>
      <c r="T233" s="19" t="s">
        <v>853</v>
      </c>
      <c r="U233" s="21" t="s">
        <v>119</v>
      </c>
    </row>
    <row r="234" spans="1:21" ht="30.75">
      <c r="A234" s="19" t="s">
        <v>21</v>
      </c>
      <c r="B234" s="19" t="s">
        <v>41</v>
      </c>
      <c r="C234" s="19" t="s">
        <v>33</v>
      </c>
      <c r="D234" s="19" t="s">
        <v>623</v>
      </c>
      <c r="E234" s="19"/>
      <c r="F234" s="19" t="s">
        <v>854</v>
      </c>
      <c r="G234" s="19" t="s">
        <v>493</v>
      </c>
      <c r="H234" s="19" t="s">
        <v>494</v>
      </c>
      <c r="I234" s="19" t="s">
        <v>46</v>
      </c>
      <c r="J234" s="20">
        <v>13</v>
      </c>
      <c r="K234" s="20">
        <v>379</v>
      </c>
      <c r="L234" s="33">
        <f>WorkmanshipResultsTable[[#This Row],[Number of Failed Units]]/WorkmanshipResultsTable[[#This Row],[Total Units Built]]</f>
        <v>3.430079155672823E-2</v>
      </c>
      <c r="M234" s="25">
        <v>45799</v>
      </c>
      <c r="N234" s="19" t="s">
        <v>47</v>
      </c>
      <c r="O234" s="19" t="s">
        <v>48</v>
      </c>
      <c r="P234" s="20"/>
      <c r="Q234" s="19"/>
      <c r="R234" s="19"/>
      <c r="S234" s="19"/>
      <c r="T234" s="19"/>
      <c r="U234" s="21"/>
    </row>
    <row r="235" spans="1:21" ht="60.75">
      <c r="A235" s="19" t="s">
        <v>21</v>
      </c>
      <c r="B235" s="19" t="s">
        <v>32</v>
      </c>
      <c r="C235" s="19" t="s">
        <v>33</v>
      </c>
      <c r="D235" s="19" t="s">
        <v>695</v>
      </c>
      <c r="E235" s="19"/>
      <c r="F235" s="19" t="s">
        <v>855</v>
      </c>
      <c r="G235" s="19" t="s">
        <v>856</v>
      </c>
      <c r="H235" s="19" t="s">
        <v>857</v>
      </c>
      <c r="I235" s="19" t="s">
        <v>46</v>
      </c>
      <c r="J235" s="20">
        <v>1</v>
      </c>
      <c r="K235" s="20">
        <v>29</v>
      </c>
      <c r="L235" s="33">
        <f>WorkmanshipResultsTable[[#This Row],[Number of Failed Units]]/WorkmanshipResultsTable[[#This Row],[Total Units Built]]</f>
        <v>3.4482758620689655E-2</v>
      </c>
      <c r="M235" s="25">
        <v>46106</v>
      </c>
      <c r="N235" s="21" t="s">
        <v>29</v>
      </c>
      <c r="O235" s="19" t="s">
        <v>39</v>
      </c>
      <c r="P235" s="20" t="s">
        <v>858</v>
      </c>
      <c r="Q235" s="19"/>
      <c r="R235" s="19"/>
      <c r="S235" s="19"/>
      <c r="T235" s="19"/>
      <c r="U235" s="21" t="s">
        <v>79</v>
      </c>
    </row>
    <row r="236" spans="1:21" ht="76.5">
      <c r="A236" s="19" t="s">
        <v>191</v>
      </c>
      <c r="B236" s="19" t="s">
        <v>202</v>
      </c>
      <c r="C236" s="19" t="s">
        <v>33</v>
      </c>
      <c r="D236" s="19" t="s">
        <v>859</v>
      </c>
      <c r="E236" s="19" t="s">
        <v>860</v>
      </c>
      <c r="F236" s="19" t="s">
        <v>861</v>
      </c>
      <c r="G236" s="19" t="s">
        <v>862</v>
      </c>
      <c r="H236" s="19" t="s">
        <v>863</v>
      </c>
      <c r="I236" s="22" t="s">
        <v>176</v>
      </c>
      <c r="J236" s="23">
        <v>2</v>
      </c>
      <c r="K236" s="23">
        <v>56</v>
      </c>
      <c r="L236" s="33">
        <f>IF(OR(J236="",K236="",K236=0),"",J236/K236)</f>
        <v>3.5714285714285712E-2</v>
      </c>
      <c r="M236" s="24">
        <v>45498</v>
      </c>
      <c r="N236" s="19" t="s">
        <v>372</v>
      </c>
      <c r="O236" s="19" t="s">
        <v>864</v>
      </c>
      <c r="P236" s="20" t="s">
        <v>865</v>
      </c>
      <c r="Q236" s="19" t="s">
        <v>866</v>
      </c>
      <c r="R236" s="19" t="s">
        <v>867</v>
      </c>
      <c r="S236" s="19" t="s">
        <v>189</v>
      </c>
      <c r="T236" s="19" t="s">
        <v>868</v>
      </c>
      <c r="U236" s="21" t="s">
        <v>378</v>
      </c>
    </row>
    <row r="237" spans="1:21" ht="76.5">
      <c r="A237" s="19" t="s">
        <v>701</v>
      </c>
      <c r="B237" s="19" t="s">
        <v>41</v>
      </c>
      <c r="C237" s="19" t="s">
        <v>33</v>
      </c>
      <c r="D237" s="19" t="s">
        <v>171</v>
      </c>
      <c r="E237" s="19"/>
      <c r="F237" s="19" t="s">
        <v>869</v>
      </c>
      <c r="G237" s="19" t="s">
        <v>870</v>
      </c>
      <c r="H237" s="31" t="s">
        <v>871</v>
      </c>
      <c r="I237" s="19" t="s">
        <v>176</v>
      </c>
      <c r="J237" s="20">
        <v>1</v>
      </c>
      <c r="K237" s="20">
        <v>28</v>
      </c>
      <c r="L237" s="33">
        <f>WorkmanshipResultsTable[[#This Row],[Number of Failed Units]]/WorkmanshipResultsTable[[#This Row],[Total Units Built]]</f>
        <v>3.5714285714285712E-2</v>
      </c>
      <c r="M237" s="25">
        <v>45517</v>
      </c>
      <c r="N237" s="27" t="s">
        <v>47</v>
      </c>
      <c r="O237" s="19" t="s">
        <v>177</v>
      </c>
      <c r="P237" s="20"/>
      <c r="Q237" s="19"/>
      <c r="R237" s="19"/>
      <c r="S237" s="19"/>
      <c r="T237" s="19"/>
      <c r="U237" s="21"/>
    </row>
    <row r="238" spans="1:21" ht="30.75">
      <c r="A238" s="19" t="s">
        <v>113</v>
      </c>
      <c r="B238" s="19" t="s">
        <v>92</v>
      </c>
      <c r="C238" s="19" t="s">
        <v>33</v>
      </c>
      <c r="D238" s="19" t="s">
        <v>872</v>
      </c>
      <c r="E238" s="19"/>
      <c r="F238" s="19" t="s">
        <v>873</v>
      </c>
      <c r="G238" s="19" t="s">
        <v>348</v>
      </c>
      <c r="H238" s="19" t="s">
        <v>349</v>
      </c>
      <c r="I238" s="19" t="s">
        <v>77</v>
      </c>
      <c r="J238" s="20">
        <v>2</v>
      </c>
      <c r="K238" s="20">
        <v>55</v>
      </c>
      <c r="L238" s="33">
        <f>WorkmanshipResultsTable[[#This Row],[Number of Failed Units]]/WorkmanshipResultsTable[[#This Row],[Total Units Built]]</f>
        <v>3.6363636363636362E-2</v>
      </c>
      <c r="M238" s="20" t="s">
        <v>409</v>
      </c>
      <c r="N238" s="21" t="s">
        <v>47</v>
      </c>
      <c r="O238" s="19" t="s">
        <v>118</v>
      </c>
      <c r="P238" s="20"/>
      <c r="Q238" s="19"/>
      <c r="R238" s="19"/>
      <c r="S238" s="19"/>
      <c r="T238" s="19"/>
      <c r="U238" s="21" t="s">
        <v>119</v>
      </c>
    </row>
    <row r="239" spans="1:21" ht="45.75">
      <c r="A239" s="19" t="s">
        <v>21</v>
      </c>
      <c r="B239" s="19" t="s">
        <v>22</v>
      </c>
      <c r="C239" s="19" t="s">
        <v>33</v>
      </c>
      <c r="D239" s="19" t="s">
        <v>695</v>
      </c>
      <c r="E239" s="19" t="s">
        <v>874</v>
      </c>
      <c r="F239" s="19" t="s">
        <v>875</v>
      </c>
      <c r="G239" s="19" t="s">
        <v>876</v>
      </c>
      <c r="H239" s="19" t="s">
        <v>877</v>
      </c>
      <c r="I239" s="19" t="s">
        <v>176</v>
      </c>
      <c r="J239" s="20">
        <v>2</v>
      </c>
      <c r="K239" s="20">
        <v>54</v>
      </c>
      <c r="L239" s="33">
        <f>WorkmanshipResultsTable[[#This Row],[Number of Failed Units]]/WorkmanshipResultsTable[[#This Row],[Total Units Built]]</f>
        <v>3.7037037037037035E-2</v>
      </c>
      <c r="M239" s="25" t="s">
        <v>878</v>
      </c>
      <c r="N239" s="21" t="s">
        <v>372</v>
      </c>
      <c r="O239" s="22" t="s">
        <v>742</v>
      </c>
      <c r="P239" s="20" t="s">
        <v>879</v>
      </c>
      <c r="Q239" s="19"/>
      <c r="R239" s="19"/>
      <c r="S239" s="19"/>
      <c r="T239" s="19"/>
      <c r="U239" s="39" t="s">
        <v>699</v>
      </c>
    </row>
    <row r="240" spans="1:21" ht="45.75">
      <c r="A240" s="19" t="s">
        <v>157</v>
      </c>
      <c r="B240" s="19" t="s">
        <v>41</v>
      </c>
      <c r="C240" s="19" t="s">
        <v>23</v>
      </c>
      <c r="D240" s="19" t="s">
        <v>158</v>
      </c>
      <c r="E240" s="19" t="s">
        <v>159</v>
      </c>
      <c r="F240" s="19" t="s">
        <v>880</v>
      </c>
      <c r="G240" s="19" t="s">
        <v>881</v>
      </c>
      <c r="H240" s="19" t="s">
        <v>882</v>
      </c>
      <c r="I240" s="22" t="s">
        <v>38</v>
      </c>
      <c r="J240" s="20">
        <v>2</v>
      </c>
      <c r="K240" s="20">
        <v>53</v>
      </c>
      <c r="L240" s="35">
        <f>WorkmanshipResultsTable[[#This Row],[Number of Failed Units]]/WorkmanshipResultsTable[[#This Row],[Total Units Built]]</f>
        <v>3.7735849056603772E-2</v>
      </c>
      <c r="M240" s="25">
        <v>45445</v>
      </c>
      <c r="N240" s="19" t="s">
        <v>47</v>
      </c>
      <c r="O240" s="19" t="s">
        <v>162</v>
      </c>
      <c r="P240" s="20"/>
      <c r="Q240" s="19"/>
      <c r="R240" s="19"/>
      <c r="S240" s="19"/>
      <c r="T240" s="19"/>
      <c r="U240" s="21"/>
    </row>
    <row r="241" spans="1:21" ht="45.75">
      <c r="A241" s="19" t="s">
        <v>21</v>
      </c>
      <c r="B241" s="19" t="s">
        <v>163</v>
      </c>
      <c r="C241" s="19" t="s">
        <v>33</v>
      </c>
      <c r="D241" s="19" t="s">
        <v>286</v>
      </c>
      <c r="E241" s="19"/>
      <c r="F241" s="19" t="s">
        <v>883</v>
      </c>
      <c r="G241" s="19" t="s">
        <v>884</v>
      </c>
      <c r="H241" s="19" t="s">
        <v>885</v>
      </c>
      <c r="I241" s="19" t="s">
        <v>46</v>
      </c>
      <c r="J241" s="20">
        <v>4</v>
      </c>
      <c r="K241" s="20">
        <v>104</v>
      </c>
      <c r="L241" s="33">
        <f>WorkmanshipResultsTable[[#This Row],[Number of Failed Units]]/WorkmanshipResultsTable[[#This Row],[Total Units Built]]</f>
        <v>3.8461538461538464E-2</v>
      </c>
      <c r="M241" s="25">
        <v>45364</v>
      </c>
      <c r="N241" s="19" t="s">
        <v>47</v>
      </c>
      <c r="O241" s="19" t="s">
        <v>48</v>
      </c>
      <c r="P241" s="20"/>
      <c r="Q241" s="19"/>
      <c r="R241" s="19"/>
      <c r="S241" s="19"/>
      <c r="T241" s="19"/>
      <c r="U241" s="21"/>
    </row>
    <row r="242" spans="1:21" ht="30.75">
      <c r="A242" s="19" t="s">
        <v>21</v>
      </c>
      <c r="B242" s="19" t="s">
        <v>212</v>
      </c>
      <c r="C242" s="19" t="s">
        <v>23</v>
      </c>
      <c r="D242" s="19" t="s">
        <v>886</v>
      </c>
      <c r="E242" s="19" t="s">
        <v>887</v>
      </c>
      <c r="F242" s="19" t="s">
        <v>888</v>
      </c>
      <c r="G242" s="19" t="s">
        <v>392</v>
      </c>
      <c r="H242" s="19"/>
      <c r="I242" s="19" t="s">
        <v>130</v>
      </c>
      <c r="J242" s="20">
        <v>1</v>
      </c>
      <c r="K242" s="20">
        <v>26</v>
      </c>
      <c r="L242" s="33">
        <f>WorkmanshipResultsTable[[#This Row],[Number of Failed Units]]/WorkmanshipResultsTable[[#This Row],[Total Units Built]]</f>
        <v>3.8461538461538464E-2</v>
      </c>
      <c r="M242" s="25">
        <v>45512</v>
      </c>
      <c r="N242" s="19" t="s">
        <v>29</v>
      </c>
      <c r="O242" s="19" t="s">
        <v>30</v>
      </c>
      <c r="P242" s="20" t="s">
        <v>889</v>
      </c>
      <c r="Q242" s="19"/>
      <c r="R242" s="19"/>
      <c r="S242" s="19"/>
      <c r="T242" s="19"/>
      <c r="U242" s="21"/>
    </row>
    <row r="243" spans="1:21" ht="60.75">
      <c r="A243" s="19" t="s">
        <v>890</v>
      </c>
      <c r="B243" s="19" t="s">
        <v>41</v>
      </c>
      <c r="C243" s="19" t="s">
        <v>33</v>
      </c>
      <c r="D243" s="19" t="s">
        <v>891</v>
      </c>
      <c r="E243" s="19"/>
      <c r="F243" s="19" t="s">
        <v>892</v>
      </c>
      <c r="G243" s="19" t="s">
        <v>893</v>
      </c>
      <c r="H243" s="19" t="s">
        <v>894</v>
      </c>
      <c r="I243" s="19" t="s">
        <v>176</v>
      </c>
      <c r="J243" s="20">
        <v>1</v>
      </c>
      <c r="K243" s="20">
        <v>26</v>
      </c>
      <c r="L243" s="33">
        <f>WorkmanshipResultsTable[[#This Row],[Number of Failed Units]]/WorkmanshipResultsTable[[#This Row],[Total Units Built]]</f>
        <v>3.8461538461538464E-2</v>
      </c>
      <c r="M243" s="25">
        <v>46066</v>
      </c>
      <c r="N243" s="27" t="s">
        <v>47</v>
      </c>
      <c r="O243" s="19" t="s">
        <v>177</v>
      </c>
      <c r="P243" s="20"/>
      <c r="Q243" s="19"/>
      <c r="R243" s="19"/>
      <c r="S243" s="19"/>
      <c r="T243" s="19"/>
      <c r="U243" s="21"/>
    </row>
    <row r="244" spans="1:21" ht="30.75">
      <c r="A244" s="19" t="s">
        <v>157</v>
      </c>
      <c r="B244" s="19" t="s">
        <v>41</v>
      </c>
      <c r="C244" s="19" t="s">
        <v>23</v>
      </c>
      <c r="D244" s="19" t="s">
        <v>158</v>
      </c>
      <c r="E244" s="19" t="s">
        <v>159</v>
      </c>
      <c r="F244" s="19" t="s">
        <v>895</v>
      </c>
      <c r="G244" s="19" t="s">
        <v>896</v>
      </c>
      <c r="H244" s="19" t="s">
        <v>897</v>
      </c>
      <c r="I244" s="22" t="s">
        <v>38</v>
      </c>
      <c r="J244" s="20">
        <v>1</v>
      </c>
      <c r="K244" s="20">
        <v>25</v>
      </c>
      <c r="L244" s="35">
        <f>WorkmanshipResultsTable[[#This Row],[Number of Failed Units]]/WorkmanshipResultsTable[[#This Row],[Total Units Built]]</f>
        <v>0.04</v>
      </c>
      <c r="M244" s="25">
        <v>45571</v>
      </c>
      <c r="N244" s="19" t="s">
        <v>47</v>
      </c>
      <c r="O244" s="19" t="s">
        <v>162</v>
      </c>
      <c r="P244" s="20"/>
      <c r="Q244" s="19"/>
      <c r="R244" s="19"/>
      <c r="S244" s="19"/>
      <c r="T244" s="19"/>
      <c r="U244" s="21"/>
    </row>
    <row r="245" spans="1:21" ht="30.75">
      <c r="A245" s="19" t="s">
        <v>157</v>
      </c>
      <c r="B245" s="19" t="s">
        <v>41</v>
      </c>
      <c r="C245" s="19" t="s">
        <v>23</v>
      </c>
      <c r="D245" s="19" t="s">
        <v>158</v>
      </c>
      <c r="E245" s="19" t="s">
        <v>159</v>
      </c>
      <c r="F245" s="19" t="s">
        <v>898</v>
      </c>
      <c r="G245" s="19" t="s">
        <v>899</v>
      </c>
      <c r="H245" s="19" t="s">
        <v>897</v>
      </c>
      <c r="I245" s="22" t="s">
        <v>38</v>
      </c>
      <c r="J245" s="20">
        <v>1</v>
      </c>
      <c r="K245" s="20">
        <v>25</v>
      </c>
      <c r="L245" s="35">
        <f>WorkmanshipResultsTable[[#This Row],[Number of Failed Units]]/WorkmanshipResultsTable[[#This Row],[Total Units Built]]</f>
        <v>0.04</v>
      </c>
      <c r="M245" s="25">
        <v>45578</v>
      </c>
      <c r="N245" s="19" t="s">
        <v>47</v>
      </c>
      <c r="O245" s="19" t="s">
        <v>162</v>
      </c>
      <c r="P245" s="20"/>
      <c r="Q245" s="19"/>
      <c r="R245" s="19"/>
      <c r="S245" s="19"/>
      <c r="T245" s="19"/>
      <c r="U245" s="21"/>
    </row>
    <row r="246" spans="1:21" ht="60.75">
      <c r="A246" s="19" t="s">
        <v>662</v>
      </c>
      <c r="B246" s="19" t="s">
        <v>41</v>
      </c>
      <c r="C246" s="19" t="s">
        <v>23</v>
      </c>
      <c r="D246" s="19" t="s">
        <v>728</v>
      </c>
      <c r="E246" s="19" t="s">
        <v>390</v>
      </c>
      <c r="F246" s="19" t="s">
        <v>900</v>
      </c>
      <c r="G246" s="19" t="s">
        <v>901</v>
      </c>
      <c r="H246" s="19" t="s">
        <v>902</v>
      </c>
      <c r="I246" s="19" t="s">
        <v>130</v>
      </c>
      <c r="J246" s="20">
        <v>4</v>
      </c>
      <c r="K246" s="20">
        <v>99</v>
      </c>
      <c r="L246" s="35">
        <f>WorkmanshipResultsTable[[#This Row],[Number of Failed Units]]/WorkmanshipResultsTable[[#This Row],[Total Units Built]]</f>
        <v>4.0404040404040407E-2</v>
      </c>
      <c r="M246" s="26">
        <v>45967</v>
      </c>
      <c r="N246" s="19" t="s">
        <v>47</v>
      </c>
      <c r="O246" s="19" t="s">
        <v>131</v>
      </c>
      <c r="P246" s="20"/>
      <c r="Q246" s="19"/>
      <c r="R246" s="19"/>
      <c r="S246" s="19"/>
      <c r="T246" s="19"/>
      <c r="U246" s="39" t="s">
        <v>79</v>
      </c>
    </row>
    <row r="247" spans="1:21" ht="30.75">
      <c r="A247" s="19" t="s">
        <v>21</v>
      </c>
      <c r="B247" s="19" t="s">
        <v>63</v>
      </c>
      <c r="C247" s="19" t="s">
        <v>33</v>
      </c>
      <c r="D247" s="19" t="s">
        <v>298</v>
      </c>
      <c r="E247" s="19"/>
      <c r="F247" s="19" t="s">
        <v>903</v>
      </c>
      <c r="G247" s="19" t="s">
        <v>904</v>
      </c>
      <c r="H247" s="19" t="s">
        <v>501</v>
      </c>
      <c r="I247" s="19" t="s">
        <v>46</v>
      </c>
      <c r="J247" s="20">
        <v>7</v>
      </c>
      <c r="K247" s="20">
        <v>172</v>
      </c>
      <c r="L247" s="33">
        <f>WorkmanshipResultsTable[[#This Row],[Number of Failed Units]]/WorkmanshipResultsTable[[#This Row],[Total Units Built]]</f>
        <v>4.0697674418604654E-2</v>
      </c>
      <c r="M247" s="25">
        <v>45443</v>
      </c>
      <c r="N247" s="19" t="s">
        <v>47</v>
      </c>
      <c r="O247" s="19" t="s">
        <v>48</v>
      </c>
      <c r="P247" s="20"/>
      <c r="Q247" s="19"/>
      <c r="R247" s="19"/>
      <c r="S247" s="19"/>
      <c r="T247" s="19"/>
      <c r="U247" s="21"/>
    </row>
    <row r="248" spans="1:21" ht="30.75">
      <c r="A248" s="19" t="s">
        <v>157</v>
      </c>
      <c r="B248" s="19" t="s">
        <v>531</v>
      </c>
      <c r="C248" s="19" t="s">
        <v>23</v>
      </c>
      <c r="D248" s="19" t="s">
        <v>756</v>
      </c>
      <c r="E248" s="19" t="s">
        <v>905</v>
      </c>
      <c r="F248" s="19"/>
      <c r="G248" s="19" t="s">
        <v>906</v>
      </c>
      <c r="H248" s="19" t="s">
        <v>907</v>
      </c>
      <c r="I248" s="19" t="s">
        <v>140</v>
      </c>
      <c r="J248" s="23">
        <v>4</v>
      </c>
      <c r="K248" s="23">
        <v>98</v>
      </c>
      <c r="L248" s="33">
        <f>IF(OR(J248="",K248="",K248=0),"",J248/K248)</f>
        <v>4.0816326530612242E-2</v>
      </c>
      <c r="M248" s="24" t="s">
        <v>908</v>
      </c>
      <c r="N248" s="19" t="s">
        <v>47</v>
      </c>
      <c r="O248" s="19" t="s">
        <v>909</v>
      </c>
      <c r="P248" s="20"/>
      <c r="Q248" s="19" t="s">
        <v>910</v>
      </c>
      <c r="R248" s="19" t="s">
        <v>911</v>
      </c>
      <c r="S248" s="19" t="s">
        <v>189</v>
      </c>
      <c r="T248" s="19" t="s">
        <v>912</v>
      </c>
      <c r="U248" s="39" t="s">
        <v>119</v>
      </c>
    </row>
    <row r="249" spans="1:21" ht="137.25">
      <c r="A249" s="19" t="s">
        <v>574</v>
      </c>
      <c r="B249" s="19" t="s">
        <v>85</v>
      </c>
      <c r="C249" s="19" t="s">
        <v>33</v>
      </c>
      <c r="D249" s="19" t="s">
        <v>913</v>
      </c>
      <c r="E249" s="19"/>
      <c r="F249" s="19" t="s">
        <v>914</v>
      </c>
      <c r="G249" s="19" t="s">
        <v>915</v>
      </c>
      <c r="H249" s="19" t="s">
        <v>916</v>
      </c>
      <c r="I249" s="19" t="s">
        <v>176</v>
      </c>
      <c r="J249" s="20">
        <v>1</v>
      </c>
      <c r="K249" s="20">
        <v>24</v>
      </c>
      <c r="L249" s="33">
        <f>WorkmanshipResultsTable[[#This Row],[Number of Failed Units]]/WorkmanshipResultsTable[[#This Row],[Total Units Built]]</f>
        <v>4.1666666666666664E-2</v>
      </c>
      <c r="M249" s="25">
        <v>45786</v>
      </c>
      <c r="N249" s="27" t="s">
        <v>47</v>
      </c>
      <c r="O249" s="19" t="s">
        <v>177</v>
      </c>
      <c r="P249" s="20"/>
      <c r="Q249" s="19"/>
      <c r="R249" s="19"/>
      <c r="S249" s="19"/>
      <c r="T249" s="19"/>
      <c r="U249" s="21"/>
    </row>
    <row r="250" spans="1:21">
      <c r="A250" s="19" t="s">
        <v>21</v>
      </c>
      <c r="B250" s="19" t="s">
        <v>32</v>
      </c>
      <c r="C250" s="19" t="s">
        <v>23</v>
      </c>
      <c r="D250" s="19" t="s">
        <v>817</v>
      </c>
      <c r="E250" s="19" t="s">
        <v>818</v>
      </c>
      <c r="F250" s="19" t="s">
        <v>917</v>
      </c>
      <c r="G250" s="19" t="s">
        <v>228</v>
      </c>
      <c r="H250" s="19" t="s">
        <v>27</v>
      </c>
      <c r="I250" s="19" t="s">
        <v>28</v>
      </c>
      <c r="J250" s="20">
        <v>1</v>
      </c>
      <c r="K250" s="20">
        <v>24</v>
      </c>
      <c r="L250" s="33">
        <f>WorkmanshipResultsTable[[#This Row],[Number of Failed Units]]/WorkmanshipResultsTable[[#This Row],[Total Units Built]]</f>
        <v>4.1666666666666664E-2</v>
      </c>
      <c r="M250" s="25">
        <v>45489</v>
      </c>
      <c r="N250" s="19" t="s">
        <v>29</v>
      </c>
      <c r="O250" s="19" t="s">
        <v>30</v>
      </c>
      <c r="P250" s="20" t="s">
        <v>918</v>
      </c>
      <c r="Q250" s="19"/>
      <c r="R250" s="19"/>
      <c r="S250" s="19"/>
      <c r="T250" s="19"/>
      <c r="U250" s="21"/>
    </row>
    <row r="251" spans="1:21" ht="76.5">
      <c r="A251" s="19" t="s">
        <v>21</v>
      </c>
      <c r="B251" s="19" t="s">
        <v>63</v>
      </c>
      <c r="C251" s="19" t="s">
        <v>33</v>
      </c>
      <c r="D251" s="19" t="s">
        <v>919</v>
      </c>
      <c r="E251" s="19"/>
      <c r="F251" s="19" t="s">
        <v>920</v>
      </c>
      <c r="G251" s="19" t="s">
        <v>921</v>
      </c>
      <c r="H251" s="19" t="s">
        <v>741</v>
      </c>
      <c r="I251" s="19" t="s">
        <v>176</v>
      </c>
      <c r="J251" s="20">
        <v>2</v>
      </c>
      <c r="K251" s="20"/>
      <c r="L251" s="33">
        <v>4.1700000000000001E-2</v>
      </c>
      <c r="M251" s="25">
        <v>45426</v>
      </c>
      <c r="N251" s="21" t="s">
        <v>372</v>
      </c>
      <c r="O251" s="22" t="s">
        <v>742</v>
      </c>
      <c r="P251" s="20" t="s">
        <v>743</v>
      </c>
      <c r="Q251" s="19"/>
      <c r="R251" s="19"/>
      <c r="S251" s="19"/>
      <c r="T251" s="19"/>
      <c r="U251" s="21" t="s">
        <v>744</v>
      </c>
    </row>
    <row r="252" spans="1:21" ht="198">
      <c r="A252" s="19" t="s">
        <v>21</v>
      </c>
      <c r="B252" s="19" t="s">
        <v>41</v>
      </c>
      <c r="C252" s="19" t="s">
        <v>33</v>
      </c>
      <c r="D252" s="19" t="s">
        <v>64</v>
      </c>
      <c r="E252" s="19"/>
      <c r="F252" s="19" t="s">
        <v>922</v>
      </c>
      <c r="G252" s="19" t="s">
        <v>923</v>
      </c>
      <c r="H252" s="19" t="s">
        <v>924</v>
      </c>
      <c r="I252" s="19" t="s">
        <v>46</v>
      </c>
      <c r="J252" s="20">
        <v>18</v>
      </c>
      <c r="K252" s="20">
        <v>417</v>
      </c>
      <c r="L252" s="33">
        <f>WorkmanshipResultsTable[[#This Row],[Number of Failed Units]]/WorkmanshipResultsTable[[#This Row],[Total Units Built]]</f>
        <v>4.3165467625899283E-2</v>
      </c>
      <c r="M252" s="25">
        <v>45895</v>
      </c>
      <c r="N252" s="19" t="s">
        <v>47</v>
      </c>
      <c r="O252" s="19" t="s">
        <v>48</v>
      </c>
      <c r="P252" s="20"/>
      <c r="Q252" s="19"/>
      <c r="R252" s="19"/>
      <c r="S252" s="19"/>
      <c r="T252" s="19"/>
      <c r="U252" s="21"/>
    </row>
    <row r="253" spans="1:21" ht="60.75">
      <c r="A253" s="19" t="s">
        <v>21</v>
      </c>
      <c r="B253" s="19" t="s">
        <v>41</v>
      </c>
      <c r="C253" s="19" t="s">
        <v>33</v>
      </c>
      <c r="D253" s="19" t="s">
        <v>842</v>
      </c>
      <c r="E253" s="19"/>
      <c r="F253" s="19" t="s">
        <v>925</v>
      </c>
      <c r="G253" s="19" t="s">
        <v>926</v>
      </c>
      <c r="H253" s="19" t="s">
        <v>180</v>
      </c>
      <c r="I253" s="19" t="s">
        <v>46</v>
      </c>
      <c r="J253" s="20">
        <v>4</v>
      </c>
      <c r="K253" s="20">
        <v>92</v>
      </c>
      <c r="L253" s="33">
        <f>WorkmanshipResultsTable[[#This Row],[Number of Failed Units]]/WorkmanshipResultsTable[[#This Row],[Total Units Built]]</f>
        <v>4.3478260869565216E-2</v>
      </c>
      <c r="M253" s="25">
        <v>45365</v>
      </c>
      <c r="N253" s="19" t="s">
        <v>47</v>
      </c>
      <c r="O253" s="19" t="s">
        <v>48</v>
      </c>
      <c r="P253" s="20"/>
      <c r="Q253" s="19"/>
      <c r="R253" s="19"/>
      <c r="S253" s="19"/>
      <c r="T253" s="19"/>
      <c r="U253" s="21"/>
    </row>
    <row r="254" spans="1:21" ht="91.5">
      <c r="A254" s="19" t="s">
        <v>444</v>
      </c>
      <c r="B254" s="19" t="s">
        <v>41</v>
      </c>
      <c r="C254" s="19" t="s">
        <v>33</v>
      </c>
      <c r="D254" s="19" t="s">
        <v>927</v>
      </c>
      <c r="E254" s="19"/>
      <c r="F254" s="19" t="s">
        <v>928</v>
      </c>
      <c r="G254" s="19" t="s">
        <v>929</v>
      </c>
      <c r="H254" s="19" t="s">
        <v>930</v>
      </c>
      <c r="I254" s="19" t="s">
        <v>176</v>
      </c>
      <c r="J254" s="20">
        <v>1</v>
      </c>
      <c r="K254" s="20">
        <v>23</v>
      </c>
      <c r="L254" s="33">
        <f>WorkmanshipResultsTable[[#This Row],[Number of Failed Units]]/WorkmanshipResultsTable[[#This Row],[Total Units Built]]</f>
        <v>4.3478260869565216E-2</v>
      </c>
      <c r="M254" s="25">
        <v>46091</v>
      </c>
      <c r="N254" s="27" t="s">
        <v>47</v>
      </c>
      <c r="O254" s="19" t="s">
        <v>177</v>
      </c>
      <c r="P254" s="20"/>
      <c r="Q254" s="19"/>
      <c r="R254" s="19"/>
      <c r="S254" s="19"/>
      <c r="T254" s="19"/>
      <c r="U254" s="21"/>
    </row>
    <row r="255" spans="1:21" ht="76.5">
      <c r="A255" s="19" t="s">
        <v>21</v>
      </c>
      <c r="B255" s="19" t="s">
        <v>41</v>
      </c>
      <c r="C255" s="19" t="s">
        <v>33</v>
      </c>
      <c r="D255" s="19" t="s">
        <v>286</v>
      </c>
      <c r="E255" s="19"/>
      <c r="F255" s="19" t="s">
        <v>931</v>
      </c>
      <c r="G255" s="19" t="s">
        <v>932</v>
      </c>
      <c r="H255" s="19" t="s">
        <v>933</v>
      </c>
      <c r="I255" s="19" t="s">
        <v>46</v>
      </c>
      <c r="J255" s="20">
        <v>25</v>
      </c>
      <c r="K255" s="20">
        <v>548</v>
      </c>
      <c r="L255" s="33">
        <f>WorkmanshipResultsTable[[#This Row],[Number of Failed Units]]/WorkmanshipResultsTable[[#This Row],[Total Units Built]]</f>
        <v>4.5620437956204379E-2</v>
      </c>
      <c r="M255" s="25">
        <v>46065</v>
      </c>
      <c r="N255" s="19" t="s">
        <v>47</v>
      </c>
      <c r="O255" s="19" t="s">
        <v>48</v>
      </c>
      <c r="P255" s="20"/>
      <c r="Q255" s="19"/>
      <c r="R255" s="19"/>
      <c r="S255" s="19"/>
      <c r="T255" s="19"/>
      <c r="U255" s="21" t="s">
        <v>233</v>
      </c>
    </row>
    <row r="256" spans="1:21" ht="60.75">
      <c r="A256" s="19" t="s">
        <v>890</v>
      </c>
      <c r="B256" s="19" t="s">
        <v>41</v>
      </c>
      <c r="C256" s="19" t="s">
        <v>33</v>
      </c>
      <c r="D256" s="19" t="s">
        <v>491</v>
      </c>
      <c r="E256" s="19"/>
      <c r="F256" s="19" t="s">
        <v>934</v>
      </c>
      <c r="G256" s="19" t="s">
        <v>893</v>
      </c>
      <c r="H256" s="19" t="s">
        <v>935</v>
      </c>
      <c r="I256" s="19" t="s">
        <v>176</v>
      </c>
      <c r="J256" s="20">
        <v>1</v>
      </c>
      <c r="K256" s="20">
        <v>21</v>
      </c>
      <c r="L256" s="33">
        <f>WorkmanshipResultsTable[[#This Row],[Number of Failed Units]]/WorkmanshipResultsTable[[#This Row],[Total Units Built]]</f>
        <v>4.7619047619047616E-2</v>
      </c>
      <c r="M256" s="25">
        <v>46059</v>
      </c>
      <c r="N256" s="27" t="s">
        <v>47</v>
      </c>
      <c r="O256" s="19" t="s">
        <v>177</v>
      </c>
      <c r="P256" s="20"/>
      <c r="Q256" s="19"/>
      <c r="R256" s="19"/>
      <c r="S256" s="19"/>
      <c r="T256" s="19"/>
      <c r="U256" s="21"/>
    </row>
    <row r="257" spans="1:21" ht="76.5">
      <c r="A257" s="19" t="s">
        <v>21</v>
      </c>
      <c r="B257" s="19" t="s">
        <v>41</v>
      </c>
      <c r="C257" s="19" t="s">
        <v>33</v>
      </c>
      <c r="D257" s="19" t="s">
        <v>171</v>
      </c>
      <c r="E257" s="19"/>
      <c r="F257" s="19" t="s">
        <v>936</v>
      </c>
      <c r="G257" s="19" t="s">
        <v>937</v>
      </c>
      <c r="H257" s="19" t="s">
        <v>938</v>
      </c>
      <c r="I257" s="19" t="s">
        <v>46</v>
      </c>
      <c r="J257" s="20">
        <v>2</v>
      </c>
      <c r="K257" s="20">
        <v>42</v>
      </c>
      <c r="L257" s="33">
        <f>WorkmanshipResultsTable[[#This Row],[Number of Failed Units]]/WorkmanshipResultsTable[[#This Row],[Total Units Built]]</f>
        <v>4.7619047619047616E-2</v>
      </c>
      <c r="M257" s="25">
        <v>46051</v>
      </c>
      <c r="N257" s="19" t="s">
        <v>47</v>
      </c>
      <c r="O257" s="19" t="s">
        <v>48</v>
      </c>
      <c r="P257" s="20"/>
      <c r="Q257" s="19"/>
      <c r="R257" s="19"/>
      <c r="S257" s="19"/>
      <c r="T257" s="19"/>
      <c r="U257" s="21" t="s">
        <v>233</v>
      </c>
    </row>
    <row r="258" spans="1:21" ht="137.25">
      <c r="A258" s="19" t="s">
        <v>21</v>
      </c>
      <c r="B258" s="19" t="s">
        <v>63</v>
      </c>
      <c r="C258" s="19" t="s">
        <v>33</v>
      </c>
      <c r="D258" s="19" t="s">
        <v>582</v>
      </c>
      <c r="E258" s="19"/>
      <c r="F258" s="19" t="s">
        <v>939</v>
      </c>
      <c r="G258" s="19" t="s">
        <v>678</v>
      </c>
      <c r="H258" s="19" t="s">
        <v>940</v>
      </c>
      <c r="I258" s="19" t="s">
        <v>46</v>
      </c>
      <c r="J258" s="20">
        <v>4</v>
      </c>
      <c r="K258" s="20">
        <v>83</v>
      </c>
      <c r="L258" s="33">
        <f>WorkmanshipResultsTable[[#This Row],[Number of Failed Units]]/WorkmanshipResultsTable[[#This Row],[Total Units Built]]</f>
        <v>4.8192771084337352E-2</v>
      </c>
      <c r="M258" s="25">
        <v>45518</v>
      </c>
      <c r="N258" s="19" t="s">
        <v>47</v>
      </c>
      <c r="O258" s="19" t="s">
        <v>48</v>
      </c>
      <c r="P258" s="20"/>
      <c r="Q258" s="19"/>
      <c r="R258" s="19"/>
      <c r="S258" s="19"/>
      <c r="T258" s="19"/>
      <c r="U258" s="21"/>
    </row>
    <row r="259" spans="1:21" ht="45.75">
      <c r="A259" s="19" t="s">
        <v>21</v>
      </c>
      <c r="B259" s="19" t="s">
        <v>41</v>
      </c>
      <c r="C259" s="19" t="s">
        <v>33</v>
      </c>
      <c r="D259" s="19" t="s">
        <v>52</v>
      </c>
      <c r="E259" s="19"/>
      <c r="F259" s="40" t="s">
        <v>454</v>
      </c>
      <c r="G259" s="19" t="s">
        <v>61</v>
      </c>
      <c r="H259" s="19" t="s">
        <v>941</v>
      </c>
      <c r="I259" s="19" t="s">
        <v>46</v>
      </c>
      <c r="J259" s="20">
        <v>12</v>
      </c>
      <c r="K259" s="20">
        <v>245</v>
      </c>
      <c r="L259" s="33">
        <f>WorkmanshipResultsTable[[#This Row],[Number of Failed Units]]/WorkmanshipResultsTable[[#This Row],[Total Units Built]]</f>
        <v>4.8979591836734691E-2</v>
      </c>
      <c r="M259" s="25">
        <v>45810</v>
      </c>
      <c r="N259" s="19" t="s">
        <v>47</v>
      </c>
      <c r="O259" s="19" t="s">
        <v>48</v>
      </c>
      <c r="P259" s="20"/>
      <c r="Q259" s="19"/>
      <c r="R259" s="19"/>
      <c r="S259" s="19"/>
      <c r="T259" s="19"/>
      <c r="U259" s="21" t="s">
        <v>233</v>
      </c>
    </row>
    <row r="260" spans="1:21" ht="45.75">
      <c r="A260" s="19" t="s">
        <v>21</v>
      </c>
      <c r="B260" s="19" t="s">
        <v>92</v>
      </c>
      <c r="C260" s="19" t="s">
        <v>33</v>
      </c>
      <c r="D260" s="19" t="s">
        <v>942</v>
      </c>
      <c r="E260" s="19"/>
      <c r="F260" s="19" t="s">
        <v>943</v>
      </c>
      <c r="G260" s="19" t="s">
        <v>944</v>
      </c>
      <c r="H260" s="19" t="s">
        <v>945</v>
      </c>
      <c r="I260" s="19" t="s">
        <v>46</v>
      </c>
      <c r="J260" s="20">
        <v>1</v>
      </c>
      <c r="K260" s="20">
        <v>20</v>
      </c>
      <c r="L260" s="33">
        <f>WorkmanshipResultsTable[[#This Row],[Number of Failed Units]]/WorkmanshipResultsTable[[#This Row],[Total Units Built]]</f>
        <v>0.05</v>
      </c>
      <c r="M260" s="25">
        <v>45320</v>
      </c>
      <c r="N260" s="19" t="s">
        <v>47</v>
      </c>
      <c r="O260" s="19" t="s">
        <v>48</v>
      </c>
      <c r="P260" s="20"/>
      <c r="Q260" s="19"/>
      <c r="R260" s="19"/>
      <c r="S260" s="19"/>
      <c r="T260" s="19"/>
      <c r="U260" s="21"/>
    </row>
    <row r="261" spans="1:21" ht="45.75">
      <c r="A261" s="19" t="s">
        <v>21</v>
      </c>
      <c r="B261" s="19" t="s">
        <v>163</v>
      </c>
      <c r="C261" s="19" t="s">
        <v>33</v>
      </c>
      <c r="D261" s="19" t="s">
        <v>946</v>
      </c>
      <c r="E261" s="19"/>
      <c r="F261" s="19" t="s">
        <v>947</v>
      </c>
      <c r="G261" s="19" t="s">
        <v>948</v>
      </c>
      <c r="H261" s="19" t="s">
        <v>949</v>
      </c>
      <c r="I261" s="19" t="s">
        <v>46</v>
      </c>
      <c r="J261" s="20">
        <v>1</v>
      </c>
      <c r="K261" s="20">
        <v>20</v>
      </c>
      <c r="L261" s="33">
        <f>WorkmanshipResultsTable[[#This Row],[Number of Failed Units]]/WorkmanshipResultsTable[[#This Row],[Total Units Built]]</f>
        <v>0.05</v>
      </c>
      <c r="M261" s="25">
        <v>45688</v>
      </c>
      <c r="N261" s="19" t="s">
        <v>47</v>
      </c>
      <c r="O261" s="19" t="s">
        <v>48</v>
      </c>
      <c r="P261" s="20"/>
      <c r="Q261" s="19"/>
      <c r="R261" s="19"/>
      <c r="S261" s="19"/>
      <c r="T261" s="19"/>
      <c r="U261" s="21"/>
    </row>
    <row r="262" spans="1:21" ht="91.5">
      <c r="A262" s="19" t="s">
        <v>21</v>
      </c>
      <c r="B262" s="19" t="s">
        <v>41</v>
      </c>
      <c r="C262" s="19" t="s">
        <v>33</v>
      </c>
      <c r="D262" s="19" t="s">
        <v>950</v>
      </c>
      <c r="E262" s="19"/>
      <c r="F262" s="19" t="s">
        <v>951</v>
      </c>
      <c r="G262" s="19" t="s">
        <v>952</v>
      </c>
      <c r="H262" s="19" t="s">
        <v>953</v>
      </c>
      <c r="I262" s="19" t="s">
        <v>46</v>
      </c>
      <c r="J262" s="20">
        <v>4</v>
      </c>
      <c r="K262" s="20">
        <v>79</v>
      </c>
      <c r="L262" s="33">
        <f>WorkmanshipResultsTable[[#This Row],[Number of Failed Units]]/WorkmanshipResultsTable[[#This Row],[Total Units Built]]</f>
        <v>5.0632911392405063E-2</v>
      </c>
      <c r="M262" s="25">
        <v>46111</v>
      </c>
      <c r="N262" s="19" t="s">
        <v>47</v>
      </c>
      <c r="O262" s="19" t="s">
        <v>48</v>
      </c>
      <c r="P262" s="20"/>
      <c r="Q262" s="19"/>
      <c r="R262" s="19"/>
      <c r="S262" s="19"/>
      <c r="T262" s="19"/>
      <c r="U262" s="21" t="s">
        <v>233</v>
      </c>
    </row>
    <row r="263" spans="1:21" ht="30.75">
      <c r="A263" s="19" t="s">
        <v>21</v>
      </c>
      <c r="B263" s="19" t="s">
        <v>41</v>
      </c>
      <c r="C263" s="19" t="s">
        <v>33</v>
      </c>
      <c r="D263" s="19" t="s">
        <v>667</v>
      </c>
      <c r="E263" s="19"/>
      <c r="F263" s="19" t="s">
        <v>954</v>
      </c>
      <c r="G263" s="19" t="s">
        <v>955</v>
      </c>
      <c r="H263" s="19" t="s">
        <v>956</v>
      </c>
      <c r="I263" s="19" t="s">
        <v>46</v>
      </c>
      <c r="J263" s="20">
        <v>3</v>
      </c>
      <c r="K263" s="20">
        <v>59</v>
      </c>
      <c r="L263" s="33">
        <f>WorkmanshipResultsTable[[#This Row],[Number of Failed Units]]/WorkmanshipResultsTable[[#This Row],[Total Units Built]]</f>
        <v>5.0847457627118647E-2</v>
      </c>
      <c r="M263" s="25">
        <v>45821</v>
      </c>
      <c r="N263" s="19" t="s">
        <v>47</v>
      </c>
      <c r="O263" s="19" t="s">
        <v>48</v>
      </c>
      <c r="P263" s="20"/>
      <c r="Q263" s="19"/>
      <c r="R263" s="19"/>
      <c r="S263" s="19"/>
      <c r="T263" s="19"/>
      <c r="U263" s="21"/>
    </row>
    <row r="264" spans="1:21" ht="30.75">
      <c r="A264" s="19" t="s">
        <v>157</v>
      </c>
      <c r="B264" s="19" t="s">
        <v>531</v>
      </c>
      <c r="C264" s="19" t="s">
        <v>23</v>
      </c>
      <c r="D264" s="19" t="s">
        <v>756</v>
      </c>
      <c r="E264" s="19" t="s">
        <v>905</v>
      </c>
      <c r="F264" s="19"/>
      <c r="G264" s="19" t="s">
        <v>957</v>
      </c>
      <c r="H264" s="19" t="s">
        <v>907</v>
      </c>
      <c r="I264" s="19" t="s">
        <v>140</v>
      </c>
      <c r="J264" s="23">
        <v>5</v>
      </c>
      <c r="K264" s="23">
        <v>98</v>
      </c>
      <c r="L264" s="33">
        <f>IF(OR(J264="",K264="",K264=0),"",J264/K264)</f>
        <v>5.1020408163265307E-2</v>
      </c>
      <c r="M264" s="24" t="s">
        <v>908</v>
      </c>
      <c r="N264" s="19" t="s">
        <v>47</v>
      </c>
      <c r="O264" s="19" t="s">
        <v>958</v>
      </c>
      <c r="P264" s="20"/>
      <c r="Q264" s="19" t="s">
        <v>959</v>
      </c>
      <c r="R264" s="19" t="s">
        <v>911</v>
      </c>
      <c r="S264" s="19" t="s">
        <v>189</v>
      </c>
      <c r="T264" s="19" t="s">
        <v>912</v>
      </c>
      <c r="U264" s="39" t="s">
        <v>119</v>
      </c>
    </row>
    <row r="265" spans="1:21" ht="60.75">
      <c r="A265" s="19" t="s">
        <v>21</v>
      </c>
      <c r="B265" s="19" t="s">
        <v>63</v>
      </c>
      <c r="C265" s="19" t="s">
        <v>33</v>
      </c>
      <c r="D265" s="19" t="s">
        <v>52</v>
      </c>
      <c r="E265" s="19"/>
      <c r="F265" s="19" t="s">
        <v>960</v>
      </c>
      <c r="G265" s="19" t="s">
        <v>961</v>
      </c>
      <c r="H265" s="19" t="s">
        <v>962</v>
      </c>
      <c r="I265" s="19" t="s">
        <v>46</v>
      </c>
      <c r="J265" s="20">
        <v>41</v>
      </c>
      <c r="K265" s="20">
        <v>791</v>
      </c>
      <c r="L265" s="33">
        <f>WorkmanshipResultsTable[[#This Row],[Number of Failed Units]]/WorkmanshipResultsTable[[#This Row],[Total Units Built]]</f>
        <v>5.1833122629582805E-2</v>
      </c>
      <c r="M265" s="25">
        <v>45835</v>
      </c>
      <c r="N265" s="19" t="s">
        <v>47</v>
      </c>
      <c r="O265" s="19" t="s">
        <v>48</v>
      </c>
      <c r="P265" s="20"/>
      <c r="Q265" s="19"/>
      <c r="R265" s="19"/>
      <c r="S265" s="19"/>
      <c r="T265" s="19"/>
      <c r="U265" s="21"/>
    </row>
    <row r="266" spans="1:21">
      <c r="A266" s="19" t="s">
        <v>157</v>
      </c>
      <c r="B266" s="19" t="s">
        <v>41</v>
      </c>
      <c r="C266" s="19" t="s">
        <v>33</v>
      </c>
      <c r="D266" s="19" t="s">
        <v>963</v>
      </c>
      <c r="E266" s="19"/>
      <c r="F266" s="19"/>
      <c r="G266" s="30" t="s">
        <v>609</v>
      </c>
      <c r="H266" s="19" t="s">
        <v>964</v>
      </c>
      <c r="I266" s="19" t="s">
        <v>130</v>
      </c>
      <c r="J266" s="20">
        <v>1</v>
      </c>
      <c r="K266" s="20">
        <v>19</v>
      </c>
      <c r="L266" s="35">
        <f>WorkmanshipResultsTable[[#This Row],[Number of Failed Units]]/WorkmanshipResultsTable[[#This Row],[Total Units Built]]</f>
        <v>5.2631578947368418E-2</v>
      </c>
      <c r="M266" s="25">
        <v>45330</v>
      </c>
      <c r="N266" s="19" t="s">
        <v>47</v>
      </c>
      <c r="O266" s="19" t="s">
        <v>131</v>
      </c>
      <c r="P266" s="20"/>
      <c r="Q266" s="19"/>
      <c r="R266" s="19"/>
      <c r="S266" s="19"/>
      <c r="T266" s="19"/>
      <c r="U266" s="39" t="s">
        <v>119</v>
      </c>
    </row>
    <row r="267" spans="1:21" ht="60.75">
      <c r="A267" s="19" t="s">
        <v>21</v>
      </c>
      <c r="B267" s="19" t="s">
        <v>41</v>
      </c>
      <c r="C267" s="19" t="s">
        <v>33</v>
      </c>
      <c r="D267" s="19" t="s">
        <v>52</v>
      </c>
      <c r="E267" s="19"/>
      <c r="F267" s="40" t="s">
        <v>454</v>
      </c>
      <c r="G267" s="19" t="s">
        <v>965</v>
      </c>
      <c r="H267" s="19" t="s">
        <v>966</v>
      </c>
      <c r="I267" s="19" t="s">
        <v>46</v>
      </c>
      <c r="J267" s="20">
        <v>13</v>
      </c>
      <c r="K267" s="20">
        <v>245</v>
      </c>
      <c r="L267" s="33">
        <f>WorkmanshipResultsTable[[#This Row],[Number of Failed Units]]/WorkmanshipResultsTable[[#This Row],[Total Units Built]]</f>
        <v>5.3061224489795916E-2</v>
      </c>
      <c r="M267" s="25">
        <v>45810</v>
      </c>
      <c r="N267" s="19" t="s">
        <v>47</v>
      </c>
      <c r="O267" s="19" t="s">
        <v>48</v>
      </c>
      <c r="P267" s="20"/>
      <c r="Q267" s="19"/>
      <c r="R267" s="19"/>
      <c r="S267" s="19"/>
      <c r="T267" s="19"/>
      <c r="U267" s="21"/>
    </row>
    <row r="268" spans="1:21" ht="60.75">
      <c r="A268" s="19" t="s">
        <v>21</v>
      </c>
      <c r="B268" s="19" t="s">
        <v>32</v>
      </c>
      <c r="C268" s="19" t="s">
        <v>23</v>
      </c>
      <c r="D268" s="19" t="s">
        <v>351</v>
      </c>
      <c r="E268" s="19" t="s">
        <v>352</v>
      </c>
      <c r="F268" s="19"/>
      <c r="G268" s="19" t="s">
        <v>967</v>
      </c>
      <c r="H268" s="19" t="s">
        <v>968</v>
      </c>
      <c r="I268" s="22" t="s">
        <v>140</v>
      </c>
      <c r="J268" s="20">
        <v>14</v>
      </c>
      <c r="K268" s="20">
        <v>255</v>
      </c>
      <c r="L268" s="35">
        <f>WorkmanshipResultsTable[[#This Row],[Number of Failed Units]]/WorkmanshipResultsTable[[#This Row],[Total Units Built]]</f>
        <v>5.4901960784313725E-2</v>
      </c>
      <c r="M268" s="20" t="s">
        <v>433</v>
      </c>
      <c r="N268" s="19" t="s">
        <v>47</v>
      </c>
      <c r="O268" s="19" t="s">
        <v>327</v>
      </c>
      <c r="P268" s="20"/>
      <c r="Q268" s="19"/>
      <c r="R268" s="19"/>
      <c r="S268" s="19"/>
      <c r="T268" s="19"/>
      <c r="U268" s="39" t="s">
        <v>119</v>
      </c>
    </row>
    <row r="269" spans="1:21" ht="60.75">
      <c r="A269" s="19" t="s">
        <v>21</v>
      </c>
      <c r="B269" s="19" t="s">
        <v>63</v>
      </c>
      <c r="C269" s="19" t="s">
        <v>33</v>
      </c>
      <c r="D269" s="19" t="s">
        <v>969</v>
      </c>
      <c r="E269" s="19" t="s">
        <v>970</v>
      </c>
      <c r="F269" s="19" t="s">
        <v>971</v>
      </c>
      <c r="G269" s="19" t="s">
        <v>972</v>
      </c>
      <c r="H269" s="19" t="s">
        <v>973</v>
      </c>
      <c r="I269" s="19" t="s">
        <v>38</v>
      </c>
      <c r="J269" s="20">
        <v>1</v>
      </c>
      <c r="K269" s="20">
        <v>18</v>
      </c>
      <c r="L269" s="33">
        <f>WorkmanshipResultsTable[[#This Row],[Number of Failed Units]]/WorkmanshipResultsTable[[#This Row],[Total Units Built]]</f>
        <v>5.5555555555555552E-2</v>
      </c>
      <c r="M269" s="25">
        <v>45990</v>
      </c>
      <c r="N269" s="21" t="s">
        <v>29</v>
      </c>
      <c r="O269" s="19" t="s">
        <v>90</v>
      </c>
      <c r="P269" s="20" t="s">
        <v>974</v>
      </c>
      <c r="Q269" s="19"/>
      <c r="R269" s="19"/>
      <c r="S269" s="19"/>
      <c r="T269" s="19"/>
      <c r="U269" s="21"/>
    </row>
    <row r="270" spans="1:21" ht="60.75">
      <c r="A270" s="19" t="s">
        <v>21</v>
      </c>
      <c r="B270" s="19" t="s">
        <v>63</v>
      </c>
      <c r="C270" s="19" t="s">
        <v>33</v>
      </c>
      <c r="D270" s="19" t="s">
        <v>298</v>
      </c>
      <c r="E270" s="19"/>
      <c r="F270" s="19" t="s">
        <v>975</v>
      </c>
      <c r="G270" s="19" t="s">
        <v>904</v>
      </c>
      <c r="H270" s="19" t="s">
        <v>976</v>
      </c>
      <c r="I270" s="19" t="s">
        <v>46</v>
      </c>
      <c r="J270" s="20">
        <v>1</v>
      </c>
      <c r="K270" s="20">
        <v>18</v>
      </c>
      <c r="L270" s="33">
        <f>WorkmanshipResultsTable[[#This Row],[Number of Failed Units]]/WorkmanshipResultsTable[[#This Row],[Total Units Built]]</f>
        <v>5.5555555555555552E-2</v>
      </c>
      <c r="M270" s="25">
        <v>45462</v>
      </c>
      <c r="N270" s="19" t="s">
        <v>47</v>
      </c>
      <c r="O270" s="19" t="s">
        <v>48</v>
      </c>
      <c r="P270" s="20"/>
      <c r="Q270" s="19"/>
      <c r="R270" s="19"/>
      <c r="S270" s="19"/>
      <c r="T270" s="19"/>
      <c r="U270" s="21"/>
    </row>
    <row r="271" spans="1:21" ht="76.5">
      <c r="A271" s="19" t="s">
        <v>21</v>
      </c>
      <c r="B271" s="19" t="s">
        <v>531</v>
      </c>
      <c r="C271" s="19" t="s">
        <v>33</v>
      </c>
      <c r="D271" s="19" t="s">
        <v>695</v>
      </c>
      <c r="E271" s="19"/>
      <c r="F271" s="19" t="s">
        <v>977</v>
      </c>
      <c r="G271" s="19" t="s">
        <v>978</v>
      </c>
      <c r="H271" s="19" t="s">
        <v>979</v>
      </c>
      <c r="I271" s="19" t="s">
        <v>176</v>
      </c>
      <c r="J271" s="20">
        <v>1</v>
      </c>
      <c r="K271" s="20">
        <v>18</v>
      </c>
      <c r="L271" s="33">
        <f>WorkmanshipResultsTable[[#This Row],[Number of Failed Units]]/WorkmanshipResultsTable[[#This Row],[Total Units Built]]</f>
        <v>5.5555555555555552E-2</v>
      </c>
      <c r="M271" s="25">
        <v>45618</v>
      </c>
      <c r="N271" s="21" t="s">
        <v>29</v>
      </c>
      <c r="O271" s="19" t="s">
        <v>39</v>
      </c>
      <c r="P271" s="20" t="s">
        <v>980</v>
      </c>
      <c r="Q271" s="19"/>
      <c r="R271" s="19"/>
      <c r="S271" s="19"/>
      <c r="T271" s="19"/>
      <c r="U271" s="21" t="s">
        <v>699</v>
      </c>
    </row>
    <row r="272" spans="1:21" ht="45.75">
      <c r="A272" s="19" t="s">
        <v>21</v>
      </c>
      <c r="B272" s="19" t="s">
        <v>92</v>
      </c>
      <c r="C272" s="19" t="s">
        <v>33</v>
      </c>
      <c r="D272" s="19" t="s">
        <v>981</v>
      </c>
      <c r="E272" s="19"/>
      <c r="F272" s="19" t="s">
        <v>982</v>
      </c>
      <c r="G272" s="19" t="s">
        <v>296</v>
      </c>
      <c r="H272" s="19" t="s">
        <v>297</v>
      </c>
      <c r="I272" s="19" t="s">
        <v>46</v>
      </c>
      <c r="J272" s="20">
        <v>10</v>
      </c>
      <c r="K272" s="20">
        <v>178</v>
      </c>
      <c r="L272" s="33">
        <f>WorkmanshipResultsTable[[#This Row],[Number of Failed Units]]/WorkmanshipResultsTable[[#This Row],[Total Units Built]]</f>
        <v>5.6179775280898875E-2</v>
      </c>
      <c r="M272" s="25">
        <v>45334</v>
      </c>
      <c r="N272" s="19" t="s">
        <v>47</v>
      </c>
      <c r="O272" s="19" t="s">
        <v>48</v>
      </c>
      <c r="P272" s="20"/>
      <c r="Q272" s="19"/>
      <c r="R272" s="19"/>
      <c r="S272" s="19"/>
      <c r="T272" s="19"/>
      <c r="U272" s="21"/>
    </row>
    <row r="273" spans="1:21" ht="45.75">
      <c r="A273" s="19" t="s">
        <v>444</v>
      </c>
      <c r="B273" s="19" t="s">
        <v>41</v>
      </c>
      <c r="C273" s="19" t="s">
        <v>23</v>
      </c>
      <c r="D273" s="19" t="s">
        <v>158</v>
      </c>
      <c r="E273" s="19" t="s">
        <v>159</v>
      </c>
      <c r="F273" s="19" t="s">
        <v>983</v>
      </c>
      <c r="G273" s="19" t="s">
        <v>984</v>
      </c>
      <c r="H273" s="19"/>
      <c r="I273" s="22" t="s">
        <v>38</v>
      </c>
      <c r="J273" s="20">
        <v>3</v>
      </c>
      <c r="K273" s="20">
        <v>53</v>
      </c>
      <c r="L273" s="35">
        <f>WorkmanshipResultsTable[[#This Row],[Number of Failed Units]]/WorkmanshipResultsTable[[#This Row],[Total Units Built]]</f>
        <v>5.6603773584905662E-2</v>
      </c>
      <c r="M273" s="25">
        <v>45438</v>
      </c>
      <c r="N273" s="19" t="s">
        <v>47</v>
      </c>
      <c r="O273" s="19" t="s">
        <v>162</v>
      </c>
      <c r="P273" s="20"/>
      <c r="Q273" s="19"/>
      <c r="R273" s="19"/>
      <c r="S273" s="19"/>
      <c r="T273" s="19"/>
      <c r="U273" s="21"/>
    </row>
    <row r="274" spans="1:21" ht="76.5">
      <c r="A274" s="19" t="s">
        <v>21</v>
      </c>
      <c r="B274" s="19" t="s">
        <v>41</v>
      </c>
      <c r="C274" s="19" t="s">
        <v>33</v>
      </c>
      <c r="D274" s="19" t="s">
        <v>491</v>
      </c>
      <c r="E274" s="19"/>
      <c r="F274" s="19" t="s">
        <v>985</v>
      </c>
      <c r="G274" s="19" t="s">
        <v>986</v>
      </c>
      <c r="H274" s="19" t="s">
        <v>987</v>
      </c>
      <c r="I274" s="19" t="s">
        <v>46</v>
      </c>
      <c r="J274" s="20">
        <v>2</v>
      </c>
      <c r="K274" s="20">
        <v>35</v>
      </c>
      <c r="L274" s="33">
        <f>WorkmanshipResultsTable[[#This Row],[Number of Failed Units]]/WorkmanshipResultsTable[[#This Row],[Total Units Built]]</f>
        <v>5.7142857142857141E-2</v>
      </c>
      <c r="M274" s="25">
        <v>46021</v>
      </c>
      <c r="N274" s="19" t="s">
        <v>47</v>
      </c>
      <c r="O274" s="19" t="s">
        <v>48</v>
      </c>
      <c r="P274" s="20"/>
      <c r="Q274" s="19"/>
      <c r="R274" s="19"/>
      <c r="S274" s="19"/>
      <c r="T274" s="19"/>
      <c r="U274" s="21" t="s">
        <v>233</v>
      </c>
    </row>
    <row r="275" spans="1:21" ht="45.75">
      <c r="A275" s="19" t="s">
        <v>21</v>
      </c>
      <c r="B275" s="19" t="s">
        <v>751</v>
      </c>
      <c r="C275" s="19" t="s">
        <v>33</v>
      </c>
      <c r="D275" s="19" t="s">
        <v>695</v>
      </c>
      <c r="E275" s="19"/>
      <c r="F275" s="19" t="s">
        <v>988</v>
      </c>
      <c r="G275" s="19" t="s">
        <v>989</v>
      </c>
      <c r="H275" s="19" t="s">
        <v>990</v>
      </c>
      <c r="I275" s="19" t="s">
        <v>46</v>
      </c>
      <c r="J275" s="20">
        <v>1</v>
      </c>
      <c r="K275" s="37">
        <v>17</v>
      </c>
      <c r="L275" s="33">
        <f>WorkmanshipResultsTable[[#This Row],[Number of Failed Units]]/WorkmanshipResultsTable[[#This Row],[Total Units Built]]</f>
        <v>5.8823529411764705E-2</v>
      </c>
      <c r="M275" s="25">
        <v>45737</v>
      </c>
      <c r="N275" s="21" t="s">
        <v>29</v>
      </c>
      <c r="O275" s="19" t="s">
        <v>39</v>
      </c>
      <c r="P275" s="20" t="s">
        <v>991</v>
      </c>
      <c r="Q275" s="19"/>
      <c r="R275" s="19"/>
      <c r="S275" s="19"/>
      <c r="T275" s="19"/>
      <c r="U275" s="21" t="s">
        <v>79</v>
      </c>
    </row>
    <row r="276" spans="1:21" ht="30.75">
      <c r="A276" s="19" t="s">
        <v>21</v>
      </c>
      <c r="B276" s="19" t="s">
        <v>163</v>
      </c>
      <c r="C276" s="19" t="s">
        <v>33</v>
      </c>
      <c r="D276" s="19" t="s">
        <v>42</v>
      </c>
      <c r="E276" s="19"/>
      <c r="F276" s="19" t="s">
        <v>992</v>
      </c>
      <c r="G276" s="19" t="s">
        <v>254</v>
      </c>
      <c r="H276" s="19" t="s">
        <v>993</v>
      </c>
      <c r="I276" s="19" t="s">
        <v>46</v>
      </c>
      <c r="J276" s="20">
        <v>5</v>
      </c>
      <c r="K276" s="20">
        <v>82</v>
      </c>
      <c r="L276" s="33">
        <f>WorkmanshipResultsTable[[#This Row],[Number of Failed Units]]/WorkmanshipResultsTable[[#This Row],[Total Units Built]]</f>
        <v>6.097560975609756E-2</v>
      </c>
      <c r="M276" s="25">
        <v>45664</v>
      </c>
      <c r="N276" s="19" t="s">
        <v>47</v>
      </c>
      <c r="O276" s="19" t="s">
        <v>48</v>
      </c>
      <c r="P276" s="20"/>
      <c r="Q276" s="19"/>
      <c r="R276" s="19"/>
      <c r="S276" s="19"/>
      <c r="T276" s="19"/>
      <c r="U276" s="21"/>
    </row>
    <row r="277" spans="1:21" ht="45.75">
      <c r="A277" s="19" t="s">
        <v>701</v>
      </c>
      <c r="B277" s="19" t="s">
        <v>41</v>
      </c>
      <c r="C277" s="19" t="s">
        <v>33</v>
      </c>
      <c r="D277" s="19" t="s">
        <v>994</v>
      </c>
      <c r="E277" s="19"/>
      <c r="F277" s="19" t="s">
        <v>995</v>
      </c>
      <c r="G277" s="19" t="s">
        <v>996</v>
      </c>
      <c r="H277" s="31" t="s">
        <v>997</v>
      </c>
      <c r="I277" s="19" t="s">
        <v>176</v>
      </c>
      <c r="J277" s="20">
        <v>1</v>
      </c>
      <c r="K277" s="20">
        <v>16</v>
      </c>
      <c r="L277" s="33">
        <f>WorkmanshipResultsTable[[#This Row],[Number of Failed Units]]/WorkmanshipResultsTable[[#This Row],[Total Units Built]]</f>
        <v>6.25E-2</v>
      </c>
      <c r="M277" s="25">
        <v>45531</v>
      </c>
      <c r="N277" s="27" t="s">
        <v>47</v>
      </c>
      <c r="O277" s="19" t="s">
        <v>177</v>
      </c>
      <c r="P277" s="20"/>
      <c r="Q277" s="19"/>
      <c r="R277" s="19"/>
      <c r="S277" s="19"/>
      <c r="T277" s="19"/>
      <c r="U277" s="21"/>
    </row>
    <row r="278" spans="1:21" ht="45.75">
      <c r="A278" s="19" t="s">
        <v>21</v>
      </c>
      <c r="B278" s="19" t="s">
        <v>41</v>
      </c>
      <c r="C278" s="19" t="s">
        <v>33</v>
      </c>
      <c r="D278" s="19" t="s">
        <v>286</v>
      </c>
      <c r="E278" s="19"/>
      <c r="F278" s="19" t="s">
        <v>998</v>
      </c>
      <c r="G278" s="19" t="s">
        <v>61</v>
      </c>
      <c r="H278" s="19" t="s">
        <v>62</v>
      </c>
      <c r="I278" s="19" t="s">
        <v>46</v>
      </c>
      <c r="J278" s="20">
        <v>4</v>
      </c>
      <c r="K278" s="20">
        <v>63</v>
      </c>
      <c r="L278" s="33">
        <f>WorkmanshipResultsTable[[#This Row],[Number of Failed Units]]/WorkmanshipResultsTable[[#This Row],[Total Units Built]]</f>
        <v>6.3492063492063489E-2</v>
      </c>
      <c r="M278" s="25">
        <v>45735</v>
      </c>
      <c r="N278" s="19" t="s">
        <v>47</v>
      </c>
      <c r="O278" s="19" t="s">
        <v>48</v>
      </c>
      <c r="P278" s="20"/>
      <c r="Q278" s="19"/>
      <c r="R278" s="19"/>
      <c r="S278" s="19"/>
      <c r="T278" s="19"/>
      <c r="U278" s="21"/>
    </row>
    <row r="279" spans="1:21" ht="106.5">
      <c r="A279" s="19" t="s">
        <v>999</v>
      </c>
      <c r="B279" s="19" t="s">
        <v>41</v>
      </c>
      <c r="C279" s="19" t="s">
        <v>33</v>
      </c>
      <c r="D279" s="19" t="s">
        <v>171</v>
      </c>
      <c r="E279" s="19"/>
      <c r="F279" s="19" t="s">
        <v>1000</v>
      </c>
      <c r="G279" s="19" t="s">
        <v>1001</v>
      </c>
      <c r="H279" s="19" t="s">
        <v>1002</v>
      </c>
      <c r="I279" s="19" t="s">
        <v>176</v>
      </c>
      <c r="J279" s="20">
        <v>7</v>
      </c>
      <c r="K279" s="20">
        <v>106</v>
      </c>
      <c r="L279" s="33">
        <f>WorkmanshipResultsTable[[#This Row],[Number of Failed Units]]/WorkmanshipResultsTable[[#This Row],[Total Units Built]]</f>
        <v>6.6037735849056603E-2</v>
      </c>
      <c r="M279" s="25">
        <v>45671</v>
      </c>
      <c r="N279" s="27" t="s">
        <v>47</v>
      </c>
      <c r="O279" s="19" t="s">
        <v>177</v>
      </c>
      <c r="P279" s="20"/>
      <c r="Q279" s="19"/>
      <c r="R279" s="19"/>
      <c r="S279" s="19"/>
      <c r="T279" s="19"/>
      <c r="U279" s="21"/>
    </row>
    <row r="280" spans="1:21" ht="45.75">
      <c r="A280" s="19" t="s">
        <v>21</v>
      </c>
      <c r="B280" s="19" t="s">
        <v>63</v>
      </c>
      <c r="C280" s="19" t="s">
        <v>33</v>
      </c>
      <c r="D280" s="19" t="s">
        <v>582</v>
      </c>
      <c r="E280" s="19"/>
      <c r="F280" s="19" t="s">
        <v>1003</v>
      </c>
      <c r="G280" s="19" t="s">
        <v>385</v>
      </c>
      <c r="H280" s="19" t="s">
        <v>815</v>
      </c>
      <c r="I280" s="19" t="s">
        <v>46</v>
      </c>
      <c r="J280" s="20">
        <v>11</v>
      </c>
      <c r="K280" s="20">
        <v>163</v>
      </c>
      <c r="L280" s="33">
        <f>WorkmanshipResultsTable[[#This Row],[Number of Failed Units]]/WorkmanshipResultsTable[[#This Row],[Total Units Built]]</f>
        <v>6.7484662576687116E-2</v>
      </c>
      <c r="M280" s="25">
        <v>45839</v>
      </c>
      <c r="N280" s="19" t="s">
        <v>47</v>
      </c>
      <c r="O280" s="19" t="s">
        <v>48</v>
      </c>
      <c r="P280" s="20"/>
      <c r="Q280" s="19"/>
      <c r="R280" s="19"/>
      <c r="S280" s="19"/>
      <c r="T280" s="19"/>
      <c r="U280" s="21"/>
    </row>
    <row r="281" spans="1:21" ht="45.75">
      <c r="A281" s="19" t="s">
        <v>21</v>
      </c>
      <c r="B281" s="19" t="s">
        <v>63</v>
      </c>
      <c r="C281" s="19" t="s">
        <v>33</v>
      </c>
      <c r="D281" s="19" t="s">
        <v>582</v>
      </c>
      <c r="E281" s="19"/>
      <c r="F281" s="19" t="s">
        <v>1003</v>
      </c>
      <c r="G281" s="19" t="s">
        <v>1004</v>
      </c>
      <c r="H281" s="19" t="s">
        <v>1005</v>
      </c>
      <c r="I281" s="19" t="s">
        <v>46</v>
      </c>
      <c r="J281" s="20">
        <v>11</v>
      </c>
      <c r="K281" s="20">
        <v>163</v>
      </c>
      <c r="L281" s="33">
        <f>WorkmanshipResultsTable[[#This Row],[Number of Failed Units]]/WorkmanshipResultsTable[[#This Row],[Total Units Built]]</f>
        <v>6.7484662576687116E-2</v>
      </c>
      <c r="M281" s="25">
        <v>45839</v>
      </c>
      <c r="N281" s="19" t="s">
        <v>47</v>
      </c>
      <c r="O281" s="19" t="s">
        <v>48</v>
      </c>
      <c r="P281" s="20"/>
      <c r="Q281" s="19"/>
      <c r="R281" s="19"/>
      <c r="S281" s="19"/>
      <c r="T281" s="19"/>
      <c r="U281" s="21"/>
    </row>
    <row r="282" spans="1:21" ht="60.75">
      <c r="A282" s="28" t="s">
        <v>21</v>
      </c>
      <c r="B282" s="19" t="s">
        <v>63</v>
      </c>
      <c r="C282" s="19" t="s">
        <v>23</v>
      </c>
      <c r="D282" s="19" t="s">
        <v>351</v>
      </c>
      <c r="E282" s="19" t="s">
        <v>352</v>
      </c>
      <c r="F282" s="19"/>
      <c r="G282" s="28" t="s">
        <v>1006</v>
      </c>
      <c r="H282" s="28" t="s">
        <v>1007</v>
      </c>
      <c r="I282" s="22" t="s">
        <v>140</v>
      </c>
      <c r="J282" s="20">
        <v>11</v>
      </c>
      <c r="K282" s="20">
        <v>159</v>
      </c>
      <c r="L282" s="35">
        <f>WorkmanshipResultsTable[[#This Row],[Number of Failed Units]]/WorkmanshipResultsTable[[#This Row],[Total Units Built]]</f>
        <v>6.9182389937106917E-2</v>
      </c>
      <c r="M282" s="20" t="s">
        <v>355</v>
      </c>
      <c r="N282" s="19" t="s">
        <v>47</v>
      </c>
      <c r="O282" s="19" t="s">
        <v>327</v>
      </c>
      <c r="P282" s="20"/>
      <c r="Q282" s="19"/>
      <c r="R282" s="19"/>
      <c r="S282" s="19"/>
      <c r="T282" s="19"/>
      <c r="U282" s="39" t="s">
        <v>119</v>
      </c>
    </row>
    <row r="283" spans="1:21" ht="106.5">
      <c r="A283" s="19" t="s">
        <v>113</v>
      </c>
      <c r="B283" s="19" t="s">
        <v>41</v>
      </c>
      <c r="C283" s="19" t="s">
        <v>23</v>
      </c>
      <c r="D283" s="19" t="s">
        <v>125</v>
      </c>
      <c r="E283" s="19" t="s">
        <v>234</v>
      </c>
      <c r="F283" s="19" t="s">
        <v>1008</v>
      </c>
      <c r="G283" s="19" t="s">
        <v>1009</v>
      </c>
      <c r="H283" s="19" t="s">
        <v>237</v>
      </c>
      <c r="I283" s="19" t="s">
        <v>130</v>
      </c>
      <c r="J283" s="20">
        <v>7</v>
      </c>
      <c r="K283" s="20">
        <v>100</v>
      </c>
      <c r="L283" s="35">
        <f>WorkmanshipResultsTable[[#This Row],[Number of Failed Units]]/WorkmanshipResultsTable[[#This Row],[Total Units Built]]</f>
        <v>7.0000000000000007E-2</v>
      </c>
      <c r="M283" s="26">
        <v>46046</v>
      </c>
      <c r="N283" s="19" t="s">
        <v>47</v>
      </c>
      <c r="O283" s="19" t="s">
        <v>131</v>
      </c>
      <c r="P283" s="20"/>
      <c r="Q283" s="19"/>
      <c r="R283" s="19"/>
      <c r="S283" s="19"/>
      <c r="T283" s="19"/>
      <c r="U283" s="39" t="s">
        <v>79</v>
      </c>
    </row>
    <row r="284" spans="1:21" ht="60.75">
      <c r="A284" s="19" t="s">
        <v>21</v>
      </c>
      <c r="B284" s="19" t="s">
        <v>63</v>
      </c>
      <c r="C284" s="19" t="s">
        <v>23</v>
      </c>
      <c r="D284" s="19" t="s">
        <v>1010</v>
      </c>
      <c r="E284" s="19"/>
      <c r="F284" s="19"/>
      <c r="G284" s="19" t="s">
        <v>1011</v>
      </c>
      <c r="H284" s="19" t="s">
        <v>1012</v>
      </c>
      <c r="I284" s="19" t="s">
        <v>38</v>
      </c>
      <c r="J284" s="20">
        <v>39</v>
      </c>
      <c r="K284" s="20"/>
      <c r="L284" s="33">
        <v>7.0800000000000002E-2</v>
      </c>
      <c r="M284" s="25">
        <v>45326</v>
      </c>
      <c r="N284" s="21" t="s">
        <v>372</v>
      </c>
      <c r="O284" s="22" t="s">
        <v>742</v>
      </c>
      <c r="P284" s="20" t="s">
        <v>1013</v>
      </c>
      <c r="Q284" s="19"/>
      <c r="R284" s="19"/>
      <c r="S284" s="19"/>
      <c r="T284" s="19"/>
      <c r="U284" s="21" t="s">
        <v>744</v>
      </c>
    </row>
    <row r="285" spans="1:21" ht="229.5">
      <c r="A285" s="19" t="s">
        <v>21</v>
      </c>
      <c r="B285" s="19" t="s">
        <v>92</v>
      </c>
      <c r="C285" s="19" t="s">
        <v>33</v>
      </c>
      <c r="D285" s="19" t="s">
        <v>1014</v>
      </c>
      <c r="E285" s="19"/>
      <c r="F285" s="19" t="s">
        <v>1015</v>
      </c>
      <c r="G285" s="19" t="s">
        <v>1016</v>
      </c>
      <c r="H285" s="19" t="s">
        <v>1017</v>
      </c>
      <c r="I285" s="19" t="s">
        <v>46</v>
      </c>
      <c r="J285" s="20">
        <v>13</v>
      </c>
      <c r="K285" s="20">
        <v>183</v>
      </c>
      <c r="L285" s="33">
        <f>WorkmanshipResultsTable[[#This Row],[Number of Failed Units]]/WorkmanshipResultsTable[[#This Row],[Total Units Built]]</f>
        <v>7.1038251366120214E-2</v>
      </c>
      <c r="M285" s="25">
        <v>45575</v>
      </c>
      <c r="N285" s="19" t="s">
        <v>47</v>
      </c>
      <c r="O285" s="19" t="s">
        <v>48</v>
      </c>
      <c r="P285" s="20"/>
      <c r="Q285" s="19"/>
      <c r="R285" s="19"/>
      <c r="S285" s="19"/>
      <c r="T285" s="19"/>
      <c r="U285" s="21"/>
    </row>
    <row r="286" spans="1:21" ht="45.75">
      <c r="A286" s="19" t="s">
        <v>21</v>
      </c>
      <c r="B286" s="19" t="s">
        <v>85</v>
      </c>
      <c r="C286" s="19" t="s">
        <v>33</v>
      </c>
      <c r="D286" s="19" t="s">
        <v>491</v>
      </c>
      <c r="E286" s="19"/>
      <c r="F286" s="19" t="s">
        <v>1018</v>
      </c>
      <c r="G286" s="19" t="s">
        <v>1019</v>
      </c>
      <c r="H286" s="19" t="s">
        <v>1020</v>
      </c>
      <c r="I286" s="19" t="s">
        <v>176</v>
      </c>
      <c r="J286" s="20">
        <v>3</v>
      </c>
      <c r="K286" s="20">
        <v>40</v>
      </c>
      <c r="L286" s="33">
        <f>WorkmanshipResultsTable[[#This Row],[Number of Failed Units]]/WorkmanshipResultsTable[[#This Row],[Total Units Built]]</f>
        <v>7.4999999999999997E-2</v>
      </c>
      <c r="M286" s="25">
        <v>45748</v>
      </c>
      <c r="N286" s="27" t="s">
        <v>47</v>
      </c>
      <c r="O286" s="19" t="s">
        <v>177</v>
      </c>
      <c r="P286" s="20" t="s">
        <v>1021</v>
      </c>
      <c r="Q286" s="19"/>
      <c r="R286" s="19"/>
      <c r="S286" s="19"/>
      <c r="T286" s="19"/>
      <c r="U286" s="21" t="s">
        <v>1022</v>
      </c>
    </row>
    <row r="287" spans="1:21" ht="106.5">
      <c r="A287" s="19" t="s">
        <v>157</v>
      </c>
      <c r="B287" s="19" t="s">
        <v>212</v>
      </c>
      <c r="C287" s="19" t="s">
        <v>23</v>
      </c>
      <c r="D287" s="19" t="s">
        <v>1023</v>
      </c>
      <c r="E287" s="19" t="s">
        <v>1024</v>
      </c>
      <c r="F287" s="19"/>
      <c r="G287" s="19" t="s">
        <v>1025</v>
      </c>
      <c r="H287" s="19" t="s">
        <v>1026</v>
      </c>
      <c r="I287" s="22" t="s">
        <v>140</v>
      </c>
      <c r="J287" s="20">
        <v>9</v>
      </c>
      <c r="K287" s="20">
        <v>119</v>
      </c>
      <c r="L287" s="35">
        <f>WorkmanshipResultsTable[[#This Row],[Number of Failed Units]]/WorkmanshipResultsTable[[#This Row],[Total Units Built]]</f>
        <v>7.5630252100840331E-2</v>
      </c>
      <c r="M287" s="20" t="s">
        <v>1027</v>
      </c>
      <c r="N287" s="19" t="s">
        <v>47</v>
      </c>
      <c r="O287" s="19" t="s">
        <v>327</v>
      </c>
      <c r="P287" s="20"/>
      <c r="Q287" s="19"/>
      <c r="R287" s="19"/>
      <c r="S287" s="19"/>
      <c r="T287" s="19"/>
      <c r="U287" s="39" t="s">
        <v>119</v>
      </c>
    </row>
    <row r="288" spans="1:21" ht="45.75">
      <c r="A288" s="19" t="s">
        <v>21</v>
      </c>
      <c r="B288" s="19" t="s">
        <v>163</v>
      </c>
      <c r="C288" s="19" t="s">
        <v>33</v>
      </c>
      <c r="D288" s="19" t="s">
        <v>1028</v>
      </c>
      <c r="E288" s="19"/>
      <c r="F288" s="19" t="s">
        <v>1029</v>
      </c>
      <c r="G288" s="19" t="s">
        <v>1030</v>
      </c>
      <c r="H288" s="19" t="s">
        <v>1031</v>
      </c>
      <c r="I288" s="19" t="s">
        <v>46</v>
      </c>
      <c r="J288" s="20">
        <v>11</v>
      </c>
      <c r="K288" s="20">
        <v>144</v>
      </c>
      <c r="L288" s="33">
        <f>WorkmanshipResultsTable[[#This Row],[Number of Failed Units]]/WorkmanshipResultsTable[[#This Row],[Total Units Built]]</f>
        <v>7.6388888888888895E-2</v>
      </c>
      <c r="M288" s="25">
        <v>45709</v>
      </c>
      <c r="N288" s="19" t="s">
        <v>47</v>
      </c>
      <c r="O288" s="19" t="s">
        <v>48</v>
      </c>
      <c r="P288" s="20"/>
      <c r="Q288" s="19"/>
      <c r="R288" s="19"/>
      <c r="S288" s="19"/>
      <c r="T288" s="19"/>
      <c r="U288" s="21"/>
    </row>
    <row r="289" spans="1:21" ht="30.75">
      <c r="A289" s="19" t="s">
        <v>21</v>
      </c>
      <c r="B289" s="19" t="s">
        <v>41</v>
      </c>
      <c r="C289" s="19" t="s">
        <v>33</v>
      </c>
      <c r="D289" s="19" t="s">
        <v>410</v>
      </c>
      <c r="E289" s="19"/>
      <c r="F289" s="19" t="s">
        <v>1032</v>
      </c>
      <c r="G289" s="19" t="s">
        <v>254</v>
      </c>
      <c r="H289" s="19" t="s">
        <v>1033</v>
      </c>
      <c r="I289" s="19" t="s">
        <v>46</v>
      </c>
      <c r="J289" s="20">
        <v>5</v>
      </c>
      <c r="K289" s="20">
        <v>64</v>
      </c>
      <c r="L289" s="33">
        <f>WorkmanshipResultsTable[[#This Row],[Number of Failed Units]]/WorkmanshipResultsTable[[#This Row],[Total Units Built]]</f>
        <v>7.8125E-2</v>
      </c>
      <c r="M289" s="25">
        <v>45775</v>
      </c>
      <c r="N289" s="19" t="s">
        <v>47</v>
      </c>
      <c r="O289" s="19" t="s">
        <v>48</v>
      </c>
      <c r="P289" s="20"/>
      <c r="Q289" s="19"/>
      <c r="R289" s="19"/>
      <c r="S289" s="19"/>
      <c r="T289" s="19"/>
      <c r="U289" s="21"/>
    </row>
    <row r="290" spans="1:21" ht="76.5">
      <c r="A290" s="19" t="s">
        <v>21</v>
      </c>
      <c r="B290" s="19" t="s">
        <v>92</v>
      </c>
      <c r="C290" s="19" t="s">
        <v>33</v>
      </c>
      <c r="D290" s="19" t="s">
        <v>1034</v>
      </c>
      <c r="E290" s="19"/>
      <c r="F290" s="19" t="s">
        <v>1035</v>
      </c>
      <c r="G290" s="19" t="s">
        <v>1036</v>
      </c>
      <c r="H290" s="19" t="s">
        <v>1037</v>
      </c>
      <c r="I290" s="19" t="s">
        <v>46</v>
      </c>
      <c r="J290" s="20">
        <v>6</v>
      </c>
      <c r="K290" s="20">
        <v>75</v>
      </c>
      <c r="L290" s="33">
        <f>WorkmanshipResultsTable[[#This Row],[Number of Failed Units]]/WorkmanshipResultsTable[[#This Row],[Total Units Built]]</f>
        <v>0.08</v>
      </c>
      <c r="M290" s="25">
        <v>45729</v>
      </c>
      <c r="N290" s="19" t="s">
        <v>47</v>
      </c>
      <c r="O290" s="19" t="s">
        <v>48</v>
      </c>
      <c r="P290" s="20"/>
      <c r="Q290" s="19"/>
      <c r="R290" s="19"/>
      <c r="S290" s="19"/>
      <c r="T290" s="19"/>
      <c r="U290" s="21"/>
    </row>
    <row r="291" spans="1:21" ht="60.75">
      <c r="A291" s="19" t="s">
        <v>21</v>
      </c>
      <c r="B291" s="19" t="s">
        <v>41</v>
      </c>
      <c r="C291" s="19" t="s">
        <v>23</v>
      </c>
      <c r="D291" s="19" t="s">
        <v>1038</v>
      </c>
      <c r="E291" s="19" t="s">
        <v>1039</v>
      </c>
      <c r="F291" s="19" t="s">
        <v>1040</v>
      </c>
      <c r="G291" s="19" t="s">
        <v>1041</v>
      </c>
      <c r="H291" s="19" t="s">
        <v>1042</v>
      </c>
      <c r="I291" s="19" t="s">
        <v>28</v>
      </c>
      <c r="J291" s="20">
        <v>2</v>
      </c>
      <c r="K291" s="20">
        <v>24</v>
      </c>
      <c r="L291" s="35">
        <f>WorkmanshipResultsTable[[#This Row],[Number of Failed Units]]/WorkmanshipResultsTable[[#This Row],[Total Units Built]]</f>
        <v>8.3333333333333329E-2</v>
      </c>
      <c r="M291" s="25">
        <v>46064</v>
      </c>
      <c r="N291" s="19" t="s">
        <v>47</v>
      </c>
      <c r="O291" s="19" t="s">
        <v>1043</v>
      </c>
      <c r="P291" s="20"/>
      <c r="Q291" s="19"/>
      <c r="R291" s="19"/>
      <c r="S291" s="19"/>
      <c r="T291" s="19"/>
      <c r="U291" s="21"/>
    </row>
    <row r="292" spans="1:21" ht="45.75">
      <c r="A292" s="19" t="s">
        <v>21</v>
      </c>
      <c r="B292" s="19" t="s">
        <v>32</v>
      </c>
      <c r="C292" s="19" t="s">
        <v>33</v>
      </c>
      <c r="D292" s="19" t="s">
        <v>1044</v>
      </c>
      <c r="E292" s="19"/>
      <c r="F292" s="19" t="s">
        <v>1045</v>
      </c>
      <c r="G292" s="19" t="s">
        <v>1046</v>
      </c>
      <c r="H292" s="19" t="s">
        <v>1047</v>
      </c>
      <c r="I292" s="19" t="s">
        <v>111</v>
      </c>
      <c r="J292" s="20">
        <v>1</v>
      </c>
      <c r="K292" s="20">
        <v>12</v>
      </c>
      <c r="L292" s="33">
        <f>WorkmanshipResultsTable[[#This Row],[Number of Failed Units]]/WorkmanshipResultsTable[[#This Row],[Total Units Built]]</f>
        <v>8.3333333333333329E-2</v>
      </c>
      <c r="M292" s="25">
        <v>45476</v>
      </c>
      <c r="N292" s="21" t="s">
        <v>29</v>
      </c>
      <c r="O292" s="19" t="s">
        <v>39</v>
      </c>
      <c r="P292" s="20" t="s">
        <v>1048</v>
      </c>
      <c r="Q292" s="19"/>
      <c r="R292" s="19"/>
      <c r="S292" s="19"/>
      <c r="T292" s="19"/>
      <c r="U292" s="21"/>
    </row>
    <row r="293" spans="1:21" ht="45.75">
      <c r="A293" s="19" t="s">
        <v>113</v>
      </c>
      <c r="B293" s="19" t="s">
        <v>41</v>
      </c>
      <c r="C293" s="19" t="s">
        <v>23</v>
      </c>
      <c r="D293" s="19" t="s">
        <v>469</v>
      </c>
      <c r="E293" s="19" t="s">
        <v>607</v>
      </c>
      <c r="F293" s="19" t="s">
        <v>1049</v>
      </c>
      <c r="G293" s="19" t="s">
        <v>666</v>
      </c>
      <c r="H293" s="19" t="s">
        <v>269</v>
      </c>
      <c r="I293" s="19" t="s">
        <v>130</v>
      </c>
      <c r="J293" s="20">
        <v>1</v>
      </c>
      <c r="K293" s="20">
        <v>12</v>
      </c>
      <c r="L293" s="35">
        <f>WorkmanshipResultsTable[[#This Row],[Number of Failed Units]]/WorkmanshipResultsTable[[#This Row],[Total Units Built]]</f>
        <v>8.3333333333333329E-2</v>
      </c>
      <c r="M293" s="26">
        <v>45951</v>
      </c>
      <c r="N293" s="19" t="s">
        <v>47</v>
      </c>
      <c r="O293" s="19" t="s">
        <v>131</v>
      </c>
      <c r="P293" s="20"/>
      <c r="Q293" s="19"/>
      <c r="R293" s="19"/>
      <c r="S293" s="19"/>
      <c r="T293" s="19"/>
      <c r="U293" s="39" t="s">
        <v>79</v>
      </c>
    </row>
    <row r="294" spans="1:21" ht="45.75">
      <c r="A294" s="19" t="s">
        <v>662</v>
      </c>
      <c r="B294" s="19" t="s">
        <v>41</v>
      </c>
      <c r="C294" s="19" t="s">
        <v>23</v>
      </c>
      <c r="D294" s="19" t="s">
        <v>469</v>
      </c>
      <c r="E294" s="19" t="s">
        <v>607</v>
      </c>
      <c r="F294" s="19" t="s">
        <v>1050</v>
      </c>
      <c r="G294" s="19" t="s">
        <v>666</v>
      </c>
      <c r="H294" s="19" t="s">
        <v>237</v>
      </c>
      <c r="I294" s="19" t="s">
        <v>130</v>
      </c>
      <c r="J294" s="20">
        <v>1</v>
      </c>
      <c r="K294" s="20">
        <v>12</v>
      </c>
      <c r="L294" s="35">
        <f>WorkmanshipResultsTable[[#This Row],[Number of Failed Units]]/WorkmanshipResultsTable[[#This Row],[Total Units Built]]</f>
        <v>8.3333333333333329E-2</v>
      </c>
      <c r="M294" s="26">
        <v>45951</v>
      </c>
      <c r="N294" s="19" t="s">
        <v>47</v>
      </c>
      <c r="O294" s="19" t="s">
        <v>131</v>
      </c>
      <c r="P294" s="20"/>
      <c r="Q294" s="19"/>
      <c r="R294" s="19"/>
      <c r="S294" s="19"/>
      <c r="T294" s="19"/>
      <c r="U294" s="39" t="s">
        <v>79</v>
      </c>
    </row>
    <row r="295" spans="1:21" ht="91.5">
      <c r="A295" s="19" t="s">
        <v>21</v>
      </c>
      <c r="B295" s="19" t="s">
        <v>41</v>
      </c>
      <c r="C295" s="19" t="s">
        <v>33</v>
      </c>
      <c r="D295" s="19" t="s">
        <v>582</v>
      </c>
      <c r="E295" s="19"/>
      <c r="F295" s="19" t="s">
        <v>1051</v>
      </c>
      <c r="G295" s="19" t="s">
        <v>1052</v>
      </c>
      <c r="H295" s="19" t="s">
        <v>1053</v>
      </c>
      <c r="I295" s="19" t="s">
        <v>46</v>
      </c>
      <c r="J295" s="20">
        <v>3</v>
      </c>
      <c r="K295" s="20">
        <v>36</v>
      </c>
      <c r="L295" s="33">
        <f>WorkmanshipResultsTable[[#This Row],[Number of Failed Units]]/WorkmanshipResultsTable[[#This Row],[Total Units Built]]</f>
        <v>8.3333333333333329E-2</v>
      </c>
      <c r="M295" s="25">
        <v>45553</v>
      </c>
      <c r="N295" s="19" t="s">
        <v>47</v>
      </c>
      <c r="O295" s="19" t="s">
        <v>48</v>
      </c>
      <c r="P295" s="20"/>
      <c r="Q295" s="19"/>
      <c r="R295" s="19"/>
      <c r="S295" s="19"/>
      <c r="T295" s="19"/>
      <c r="U295" s="21"/>
    </row>
    <row r="296" spans="1:21" ht="45.75">
      <c r="A296" s="19" t="s">
        <v>562</v>
      </c>
      <c r="B296" s="19" t="s">
        <v>41</v>
      </c>
      <c r="C296" s="19" t="s">
        <v>23</v>
      </c>
      <c r="D296" s="19" t="s">
        <v>1054</v>
      </c>
      <c r="E296" s="19" t="s">
        <v>1055</v>
      </c>
      <c r="F296" s="19"/>
      <c r="G296" s="19" t="s">
        <v>1056</v>
      </c>
      <c r="H296" s="19" t="s">
        <v>1057</v>
      </c>
      <c r="I296" s="22" t="s">
        <v>140</v>
      </c>
      <c r="J296" s="20">
        <v>6</v>
      </c>
      <c r="K296" s="20">
        <v>68</v>
      </c>
      <c r="L296" s="35">
        <f>WorkmanshipResultsTable[[#This Row],[Number of Failed Units]]/WorkmanshipResultsTable[[#This Row],[Total Units Built]]</f>
        <v>8.8235294117647065E-2</v>
      </c>
      <c r="M296" s="20" t="s">
        <v>1058</v>
      </c>
      <c r="N296" s="19" t="s">
        <v>47</v>
      </c>
      <c r="O296" s="19" t="s">
        <v>327</v>
      </c>
      <c r="P296" s="20"/>
      <c r="Q296" s="19"/>
      <c r="R296" s="19"/>
      <c r="S296" s="19"/>
      <c r="T296" s="19"/>
      <c r="U296" s="39" t="s">
        <v>119</v>
      </c>
    </row>
    <row r="297" spans="1:21" ht="30.75">
      <c r="A297" s="19" t="s">
        <v>21</v>
      </c>
      <c r="B297" s="19" t="s">
        <v>41</v>
      </c>
      <c r="C297" s="19" t="s">
        <v>33</v>
      </c>
      <c r="D297" s="19" t="s">
        <v>623</v>
      </c>
      <c r="E297" s="19"/>
      <c r="F297" s="19" t="s">
        <v>1059</v>
      </c>
      <c r="G297" s="19" t="s">
        <v>645</v>
      </c>
      <c r="H297" s="19" t="s">
        <v>646</v>
      </c>
      <c r="I297" s="19" t="s">
        <v>46</v>
      </c>
      <c r="J297" s="20">
        <v>1</v>
      </c>
      <c r="K297" s="20">
        <v>11</v>
      </c>
      <c r="L297" s="33">
        <f>WorkmanshipResultsTable[[#This Row],[Number of Failed Units]]/WorkmanshipResultsTable[[#This Row],[Total Units Built]]</f>
        <v>9.0909090909090912E-2</v>
      </c>
      <c r="M297" s="25">
        <v>45750</v>
      </c>
      <c r="N297" s="19" t="s">
        <v>47</v>
      </c>
      <c r="O297" s="19" t="s">
        <v>48</v>
      </c>
      <c r="P297" s="20"/>
      <c r="Q297" s="19"/>
      <c r="R297" s="19"/>
      <c r="S297" s="19"/>
      <c r="T297" s="19"/>
      <c r="U297" s="21"/>
    </row>
    <row r="298" spans="1:21" ht="121.5">
      <c r="A298" s="19" t="s">
        <v>1060</v>
      </c>
      <c r="B298" s="19" t="s">
        <v>41</v>
      </c>
      <c r="C298" s="19" t="s">
        <v>33</v>
      </c>
      <c r="D298" s="19" t="s">
        <v>1061</v>
      </c>
      <c r="E298" s="39" t="s">
        <v>1062</v>
      </c>
      <c r="F298" s="19" t="s">
        <v>1063</v>
      </c>
      <c r="G298" s="19" t="s">
        <v>1064</v>
      </c>
      <c r="H298" s="19" t="s">
        <v>1065</v>
      </c>
      <c r="I298" s="19" t="s">
        <v>176</v>
      </c>
      <c r="J298" s="20">
        <v>2</v>
      </c>
      <c r="K298" s="20">
        <v>22</v>
      </c>
      <c r="L298" s="33">
        <f>WorkmanshipResultsTable[[#This Row],[Number of Failed Units]]/WorkmanshipResultsTable[[#This Row],[Total Units Built]]</f>
        <v>9.0909090909090912E-2</v>
      </c>
      <c r="M298" s="25">
        <v>46137</v>
      </c>
      <c r="N298" s="27" t="s">
        <v>47</v>
      </c>
      <c r="O298" s="19" t="s">
        <v>177</v>
      </c>
      <c r="P298" s="20"/>
      <c r="Q298" s="19"/>
      <c r="R298" s="19"/>
      <c r="S298" s="19"/>
      <c r="T298" s="19"/>
      <c r="U298" s="21"/>
    </row>
    <row r="299" spans="1:21" ht="30.75">
      <c r="A299" s="19" t="s">
        <v>157</v>
      </c>
      <c r="B299" s="19" t="s">
        <v>41</v>
      </c>
      <c r="C299" s="19" t="s">
        <v>23</v>
      </c>
      <c r="D299" s="19" t="s">
        <v>158</v>
      </c>
      <c r="E299" s="19" t="s">
        <v>159</v>
      </c>
      <c r="F299" s="19" t="s">
        <v>1066</v>
      </c>
      <c r="G299" s="19" t="s">
        <v>1067</v>
      </c>
      <c r="H299" s="19" t="s">
        <v>1068</v>
      </c>
      <c r="I299" s="22" t="s">
        <v>38</v>
      </c>
      <c r="J299" s="20">
        <v>1</v>
      </c>
      <c r="K299" s="20">
        <v>11</v>
      </c>
      <c r="L299" s="35">
        <f>WorkmanshipResultsTable[[#This Row],[Number of Failed Units]]/WorkmanshipResultsTable[[#This Row],[Total Units Built]]</f>
        <v>9.0909090909090912E-2</v>
      </c>
      <c r="M299" s="25">
        <v>45494</v>
      </c>
      <c r="N299" s="19" t="s">
        <v>47</v>
      </c>
      <c r="O299" s="19" t="s">
        <v>162</v>
      </c>
      <c r="P299" s="20"/>
      <c r="Q299" s="19"/>
      <c r="R299" s="19"/>
      <c r="S299" s="19"/>
      <c r="T299" s="19"/>
      <c r="U299" s="21"/>
    </row>
    <row r="300" spans="1:21">
      <c r="A300" s="19" t="s">
        <v>21</v>
      </c>
      <c r="B300" s="19" t="s">
        <v>41</v>
      </c>
      <c r="C300" s="19" t="s">
        <v>33</v>
      </c>
      <c r="D300" s="19" t="s">
        <v>1069</v>
      </c>
      <c r="E300" s="19"/>
      <c r="F300" s="19" t="s">
        <v>1070</v>
      </c>
      <c r="G300" s="19" t="s">
        <v>254</v>
      </c>
      <c r="H300" s="19" t="s">
        <v>145</v>
      </c>
      <c r="I300" s="19" t="s">
        <v>46</v>
      </c>
      <c r="J300" s="20">
        <v>1</v>
      </c>
      <c r="K300" s="20">
        <v>11</v>
      </c>
      <c r="L300" s="33">
        <f>WorkmanshipResultsTable[[#This Row],[Number of Failed Units]]/WorkmanshipResultsTable[[#This Row],[Total Units Built]]</f>
        <v>9.0909090909090912E-2</v>
      </c>
      <c r="M300" s="25">
        <v>45782</v>
      </c>
      <c r="N300" s="19" t="s">
        <v>47</v>
      </c>
      <c r="O300" s="19" t="s">
        <v>48</v>
      </c>
      <c r="P300" s="20"/>
      <c r="Q300" s="19"/>
      <c r="R300" s="19"/>
      <c r="S300" s="19"/>
      <c r="T300" s="19"/>
      <c r="U300" s="21"/>
    </row>
    <row r="301" spans="1:21" ht="76.5">
      <c r="A301" s="19" t="s">
        <v>21</v>
      </c>
      <c r="B301" s="19" t="s">
        <v>92</v>
      </c>
      <c r="C301" s="19" t="s">
        <v>33</v>
      </c>
      <c r="D301" s="19" t="s">
        <v>1034</v>
      </c>
      <c r="E301" s="19"/>
      <c r="F301" s="19" t="s">
        <v>1071</v>
      </c>
      <c r="G301" s="19" t="s">
        <v>1036</v>
      </c>
      <c r="H301" s="19" t="s">
        <v>1037</v>
      </c>
      <c r="I301" s="19" t="s">
        <v>46</v>
      </c>
      <c r="J301" s="20">
        <v>7</v>
      </c>
      <c r="K301" s="20">
        <v>75</v>
      </c>
      <c r="L301" s="33">
        <f>WorkmanshipResultsTable[[#This Row],[Number of Failed Units]]/WorkmanshipResultsTable[[#This Row],[Total Units Built]]</f>
        <v>9.3333333333333338E-2</v>
      </c>
      <c r="M301" s="25">
        <v>45729</v>
      </c>
      <c r="N301" s="19" t="s">
        <v>47</v>
      </c>
      <c r="O301" s="19" t="s">
        <v>48</v>
      </c>
      <c r="P301" s="20"/>
      <c r="Q301" s="19"/>
      <c r="R301" s="19"/>
      <c r="S301" s="19"/>
      <c r="T301" s="19"/>
      <c r="U301" s="21"/>
    </row>
    <row r="302" spans="1:21" ht="30.75">
      <c r="A302" s="19" t="s">
        <v>21</v>
      </c>
      <c r="B302" s="19" t="s">
        <v>92</v>
      </c>
      <c r="C302" s="19" t="s">
        <v>33</v>
      </c>
      <c r="D302" s="19" t="s">
        <v>1034</v>
      </c>
      <c r="E302" s="19"/>
      <c r="F302" s="19" t="s">
        <v>1072</v>
      </c>
      <c r="G302" s="19" t="s">
        <v>1073</v>
      </c>
      <c r="H302" s="19" t="s">
        <v>1074</v>
      </c>
      <c r="I302" s="19" t="s">
        <v>46</v>
      </c>
      <c r="J302" s="20">
        <v>2</v>
      </c>
      <c r="K302" s="20">
        <v>21</v>
      </c>
      <c r="L302" s="33">
        <f>WorkmanshipResultsTable[[#This Row],[Number of Failed Units]]/WorkmanshipResultsTable[[#This Row],[Total Units Built]]</f>
        <v>9.5238095238095233E-2</v>
      </c>
      <c r="M302" s="25">
        <v>45548</v>
      </c>
      <c r="N302" s="19" t="s">
        <v>47</v>
      </c>
      <c r="O302" s="19" t="s">
        <v>48</v>
      </c>
      <c r="P302" s="20"/>
      <c r="Q302" s="19"/>
      <c r="R302" s="19"/>
      <c r="S302" s="19"/>
      <c r="T302" s="19"/>
      <c r="U302" s="21"/>
    </row>
    <row r="303" spans="1:21" ht="30.75">
      <c r="A303" s="19" t="s">
        <v>21</v>
      </c>
      <c r="B303" s="19" t="s">
        <v>41</v>
      </c>
      <c r="C303" s="19" t="s">
        <v>33</v>
      </c>
      <c r="D303" s="19" t="s">
        <v>842</v>
      </c>
      <c r="E303" s="19"/>
      <c r="F303" s="19" t="s">
        <v>1075</v>
      </c>
      <c r="G303" s="19" t="s">
        <v>645</v>
      </c>
      <c r="H303" s="19" t="s">
        <v>646</v>
      </c>
      <c r="I303" s="19" t="s">
        <v>46</v>
      </c>
      <c r="J303" s="20">
        <v>3</v>
      </c>
      <c r="K303" s="20">
        <v>30</v>
      </c>
      <c r="L303" s="33">
        <f>WorkmanshipResultsTable[[#This Row],[Number of Failed Units]]/WorkmanshipResultsTable[[#This Row],[Total Units Built]]</f>
        <v>0.1</v>
      </c>
      <c r="M303" s="25">
        <v>45763</v>
      </c>
      <c r="N303" s="19" t="s">
        <v>47</v>
      </c>
      <c r="O303" s="19" t="s">
        <v>48</v>
      </c>
      <c r="P303" s="20"/>
      <c r="Q303" s="19"/>
      <c r="R303" s="19"/>
      <c r="S303" s="19"/>
      <c r="T303" s="19"/>
      <c r="U303" s="21"/>
    </row>
    <row r="304" spans="1:21" ht="60.75">
      <c r="A304" s="19" t="s">
        <v>21</v>
      </c>
      <c r="B304" s="19" t="s">
        <v>63</v>
      </c>
      <c r="C304" s="19" t="s">
        <v>33</v>
      </c>
      <c r="D304" s="19" t="s">
        <v>1076</v>
      </c>
      <c r="E304" s="19"/>
      <c r="F304" s="19" t="s">
        <v>1077</v>
      </c>
      <c r="G304" s="19" t="s">
        <v>904</v>
      </c>
      <c r="H304" s="19" t="s">
        <v>976</v>
      </c>
      <c r="I304" s="19" t="s">
        <v>46</v>
      </c>
      <c r="J304" s="20">
        <v>1</v>
      </c>
      <c r="K304" s="20">
        <v>10</v>
      </c>
      <c r="L304" s="33">
        <f>WorkmanshipResultsTable[[#This Row],[Number of Failed Units]]/WorkmanshipResultsTable[[#This Row],[Total Units Built]]</f>
        <v>0.1</v>
      </c>
      <c r="M304" s="25">
        <v>45473</v>
      </c>
      <c r="N304" s="19" t="s">
        <v>47</v>
      </c>
      <c r="O304" s="19" t="s">
        <v>48</v>
      </c>
      <c r="P304" s="20"/>
      <c r="Q304" s="19"/>
      <c r="R304" s="19"/>
      <c r="S304" s="19"/>
      <c r="T304" s="19"/>
      <c r="U304" s="21"/>
    </row>
    <row r="305" spans="1:21" ht="30.75">
      <c r="A305" s="19" t="s">
        <v>21</v>
      </c>
      <c r="B305" s="19" t="s">
        <v>92</v>
      </c>
      <c r="C305" s="19" t="s">
        <v>33</v>
      </c>
      <c r="D305" s="19" t="s">
        <v>1034</v>
      </c>
      <c r="E305" s="19"/>
      <c r="F305" s="19" t="s">
        <v>1078</v>
      </c>
      <c r="G305" s="19" t="s">
        <v>1079</v>
      </c>
      <c r="H305" s="19" t="s">
        <v>1080</v>
      </c>
      <c r="I305" s="19" t="s">
        <v>46</v>
      </c>
      <c r="J305" s="20">
        <v>1</v>
      </c>
      <c r="K305" s="20">
        <v>10</v>
      </c>
      <c r="L305" s="33">
        <f>WorkmanshipResultsTable[[#This Row],[Number of Failed Units]]/WorkmanshipResultsTable[[#This Row],[Total Units Built]]</f>
        <v>0.1</v>
      </c>
      <c r="M305" s="25">
        <v>45695</v>
      </c>
      <c r="N305" s="19" t="s">
        <v>47</v>
      </c>
      <c r="O305" s="19" t="s">
        <v>48</v>
      </c>
      <c r="P305" s="20"/>
      <c r="Q305" s="19"/>
      <c r="R305" s="19"/>
      <c r="S305" s="19"/>
      <c r="T305" s="19"/>
      <c r="U305" s="21"/>
    </row>
    <row r="306" spans="1:21" ht="30.75">
      <c r="A306" s="19" t="s">
        <v>21</v>
      </c>
      <c r="B306" s="19" t="s">
        <v>63</v>
      </c>
      <c r="C306" s="19" t="s">
        <v>33</v>
      </c>
      <c r="D306" s="19" t="s">
        <v>582</v>
      </c>
      <c r="E306" s="19"/>
      <c r="F306" s="19" t="s">
        <v>1081</v>
      </c>
      <c r="G306" s="19" t="s">
        <v>1082</v>
      </c>
      <c r="H306" s="19" t="s">
        <v>1083</v>
      </c>
      <c r="I306" s="19" t="s">
        <v>46</v>
      </c>
      <c r="J306" s="20">
        <v>4</v>
      </c>
      <c r="K306" s="20">
        <v>39</v>
      </c>
      <c r="L306" s="33">
        <f>WorkmanshipResultsTable[[#This Row],[Number of Failed Units]]/WorkmanshipResultsTable[[#This Row],[Total Units Built]]</f>
        <v>0.10256410256410256</v>
      </c>
      <c r="M306" s="25">
        <v>45380</v>
      </c>
      <c r="N306" s="19" t="s">
        <v>47</v>
      </c>
      <c r="O306" s="19" t="s">
        <v>48</v>
      </c>
      <c r="P306" s="20"/>
      <c r="Q306" s="19"/>
      <c r="R306" s="19"/>
      <c r="S306" s="19"/>
      <c r="T306" s="19"/>
      <c r="U306" s="21"/>
    </row>
    <row r="307" spans="1:21" ht="381.75">
      <c r="A307" s="19" t="s">
        <v>191</v>
      </c>
      <c r="B307" s="19" t="s">
        <v>32</v>
      </c>
      <c r="C307" s="19" t="s">
        <v>33</v>
      </c>
      <c r="D307" s="19" t="s">
        <v>1084</v>
      </c>
      <c r="E307" s="19"/>
      <c r="F307" s="19"/>
      <c r="G307" s="19" t="s">
        <v>1085</v>
      </c>
      <c r="H307" s="19" t="s">
        <v>1086</v>
      </c>
      <c r="I307" s="22" t="s">
        <v>176</v>
      </c>
      <c r="J307" s="23">
        <v>1</v>
      </c>
      <c r="K307" s="23"/>
      <c r="L307" s="33">
        <v>0.1111</v>
      </c>
      <c r="M307" s="24">
        <v>45971</v>
      </c>
      <c r="N307" s="19" t="s">
        <v>372</v>
      </c>
      <c r="O307" s="19" t="s">
        <v>1087</v>
      </c>
      <c r="P307" s="20" t="s">
        <v>1088</v>
      </c>
      <c r="Q307" s="19" t="s">
        <v>1089</v>
      </c>
      <c r="R307" s="19" t="s">
        <v>1090</v>
      </c>
      <c r="S307" s="19" t="s">
        <v>189</v>
      </c>
      <c r="T307" s="19" t="s">
        <v>377</v>
      </c>
      <c r="U307" s="39" t="s">
        <v>378</v>
      </c>
    </row>
    <row r="308" spans="1:21" ht="152.25">
      <c r="A308" s="19" t="s">
        <v>1060</v>
      </c>
      <c r="B308" s="19" t="s">
        <v>163</v>
      </c>
      <c r="C308" s="19" t="s">
        <v>33</v>
      </c>
      <c r="D308" s="19" t="s">
        <v>1061</v>
      </c>
      <c r="E308" s="39" t="s">
        <v>1062</v>
      </c>
      <c r="F308" s="19" t="s">
        <v>1091</v>
      </c>
      <c r="G308" s="19" t="s">
        <v>1092</v>
      </c>
      <c r="H308" s="19" t="s">
        <v>1093</v>
      </c>
      <c r="I308" s="19" t="s">
        <v>176</v>
      </c>
      <c r="J308" s="20">
        <v>2</v>
      </c>
      <c r="K308" s="20">
        <v>18</v>
      </c>
      <c r="L308" s="33">
        <f>WorkmanshipResultsTable[[#This Row],[Number of Failed Units]]/WorkmanshipResultsTable[[#This Row],[Total Units Built]]</f>
        <v>0.1111111111111111</v>
      </c>
      <c r="M308" s="25">
        <v>46193</v>
      </c>
      <c r="N308" s="27" t="s">
        <v>47</v>
      </c>
      <c r="O308" s="19" t="s">
        <v>177</v>
      </c>
      <c r="P308" s="20"/>
      <c r="Q308" s="19"/>
      <c r="R308" s="19"/>
      <c r="S308" s="19"/>
      <c r="T308" s="19"/>
      <c r="U308" s="21"/>
    </row>
    <row r="309" spans="1:21" ht="45.75">
      <c r="A309" s="19" t="s">
        <v>21</v>
      </c>
      <c r="B309" s="19" t="s">
        <v>56</v>
      </c>
      <c r="C309" s="19" t="s">
        <v>33</v>
      </c>
      <c r="D309" s="19" t="s">
        <v>582</v>
      </c>
      <c r="E309" s="19"/>
      <c r="F309" s="19" t="s">
        <v>1094</v>
      </c>
      <c r="G309" s="19" t="s">
        <v>689</v>
      </c>
      <c r="H309" s="19" t="s">
        <v>690</v>
      </c>
      <c r="I309" s="19" t="s">
        <v>46</v>
      </c>
      <c r="J309" s="20">
        <v>3</v>
      </c>
      <c r="K309" s="20">
        <v>26</v>
      </c>
      <c r="L309" s="33">
        <f>WorkmanshipResultsTable[[#This Row],[Number of Failed Units]]/WorkmanshipResultsTable[[#This Row],[Total Units Built]]</f>
        <v>0.11538461538461539</v>
      </c>
      <c r="M309" s="25">
        <v>45751</v>
      </c>
      <c r="N309" s="19" t="s">
        <v>47</v>
      </c>
      <c r="O309" s="19" t="s">
        <v>48</v>
      </c>
      <c r="P309" s="20"/>
      <c r="Q309" s="19"/>
      <c r="R309" s="19"/>
      <c r="S309" s="19"/>
      <c r="T309" s="19"/>
      <c r="U309" s="21"/>
    </row>
    <row r="310" spans="1:21" ht="30.75">
      <c r="A310" s="19" t="s">
        <v>21</v>
      </c>
      <c r="B310" s="19" t="s">
        <v>41</v>
      </c>
      <c r="C310" s="19" t="s">
        <v>33</v>
      </c>
      <c r="D310" s="19" t="s">
        <v>1095</v>
      </c>
      <c r="E310" s="19"/>
      <c r="F310" s="19" t="s">
        <v>1096</v>
      </c>
      <c r="G310" s="19" t="s">
        <v>1097</v>
      </c>
      <c r="H310" s="19" t="s">
        <v>1098</v>
      </c>
      <c r="I310" s="19" t="s">
        <v>46</v>
      </c>
      <c r="J310" s="20">
        <v>4</v>
      </c>
      <c r="K310" s="20">
        <v>34</v>
      </c>
      <c r="L310" s="33">
        <f>WorkmanshipResultsTable[[#This Row],[Number of Failed Units]]/WorkmanshipResultsTable[[#This Row],[Total Units Built]]</f>
        <v>0.11764705882352941</v>
      </c>
      <c r="M310" s="25">
        <v>45372</v>
      </c>
      <c r="N310" s="19" t="s">
        <v>47</v>
      </c>
      <c r="O310" s="19" t="s">
        <v>48</v>
      </c>
      <c r="P310" s="20"/>
      <c r="Q310" s="19"/>
      <c r="R310" s="19"/>
      <c r="S310" s="19"/>
      <c r="T310" s="19"/>
      <c r="U310" s="21"/>
    </row>
    <row r="311" spans="1:21" ht="60.75">
      <c r="A311" s="19" t="s">
        <v>21</v>
      </c>
      <c r="B311" s="19" t="s">
        <v>92</v>
      </c>
      <c r="C311" s="19" t="s">
        <v>33</v>
      </c>
      <c r="D311" s="19" t="s">
        <v>981</v>
      </c>
      <c r="E311" s="19"/>
      <c r="F311" s="19" t="s">
        <v>1099</v>
      </c>
      <c r="G311" s="19" t="s">
        <v>1100</v>
      </c>
      <c r="H311" s="19" t="s">
        <v>95</v>
      </c>
      <c r="I311" s="19" t="s">
        <v>46</v>
      </c>
      <c r="J311" s="20">
        <v>3</v>
      </c>
      <c r="K311" s="20">
        <v>25</v>
      </c>
      <c r="L311" s="33">
        <f>WorkmanshipResultsTable[[#This Row],[Number of Failed Units]]/WorkmanshipResultsTable[[#This Row],[Total Units Built]]</f>
        <v>0.12</v>
      </c>
      <c r="M311" s="25">
        <v>45331</v>
      </c>
      <c r="N311" s="19" t="s">
        <v>47</v>
      </c>
      <c r="O311" s="19" t="s">
        <v>48</v>
      </c>
      <c r="P311" s="20"/>
      <c r="Q311" s="19"/>
      <c r="R311" s="19"/>
      <c r="S311" s="19"/>
      <c r="T311" s="19"/>
      <c r="U311" s="21"/>
    </row>
    <row r="312" spans="1:21" ht="76.5">
      <c r="A312" s="19" t="s">
        <v>701</v>
      </c>
      <c r="B312" s="19" t="s">
        <v>56</v>
      </c>
      <c r="C312" s="19" t="s">
        <v>33</v>
      </c>
      <c r="D312" s="19" t="s">
        <v>1101</v>
      </c>
      <c r="E312" s="19"/>
      <c r="F312" s="19" t="s">
        <v>1102</v>
      </c>
      <c r="G312" s="19" t="s">
        <v>1103</v>
      </c>
      <c r="H312" s="31" t="s">
        <v>1104</v>
      </c>
      <c r="I312" s="19" t="s">
        <v>176</v>
      </c>
      <c r="J312" s="20">
        <v>1</v>
      </c>
      <c r="K312" s="20">
        <v>8</v>
      </c>
      <c r="L312" s="33">
        <f>WorkmanshipResultsTable[[#This Row],[Number of Failed Units]]/WorkmanshipResultsTable[[#This Row],[Total Units Built]]</f>
        <v>0.125</v>
      </c>
      <c r="M312" s="25">
        <v>45544</v>
      </c>
      <c r="N312" s="27" t="s">
        <v>47</v>
      </c>
      <c r="O312" s="19" t="s">
        <v>177</v>
      </c>
      <c r="P312" s="20"/>
      <c r="Q312" s="19"/>
      <c r="R312" s="19"/>
      <c r="S312" s="19"/>
      <c r="T312" s="19"/>
      <c r="U312" s="21"/>
    </row>
    <row r="313" spans="1:21" ht="45.75">
      <c r="A313" s="19" t="s">
        <v>21</v>
      </c>
      <c r="B313" s="19" t="s">
        <v>63</v>
      </c>
      <c r="C313" s="19" t="s">
        <v>33</v>
      </c>
      <c r="D313" s="19" t="s">
        <v>1105</v>
      </c>
      <c r="E313" s="19"/>
      <c r="F313" s="19" t="s">
        <v>1106</v>
      </c>
      <c r="G313" s="19" t="s">
        <v>300</v>
      </c>
      <c r="H313" s="19" t="s">
        <v>95</v>
      </c>
      <c r="I313" s="19" t="s">
        <v>46</v>
      </c>
      <c r="J313" s="20">
        <v>8</v>
      </c>
      <c r="K313" s="20">
        <v>63</v>
      </c>
      <c r="L313" s="33">
        <f>WorkmanshipResultsTable[[#This Row],[Number of Failed Units]]/WorkmanshipResultsTable[[#This Row],[Total Units Built]]</f>
        <v>0.12698412698412698</v>
      </c>
      <c r="M313" s="25">
        <v>45506</v>
      </c>
      <c r="N313" s="19" t="s">
        <v>47</v>
      </c>
      <c r="O313" s="19" t="s">
        <v>48</v>
      </c>
      <c r="P313" s="20"/>
      <c r="Q313" s="19"/>
      <c r="R313" s="19"/>
      <c r="S313" s="19"/>
      <c r="T313" s="19"/>
      <c r="U313" s="21"/>
    </row>
    <row r="314" spans="1:21" ht="76.5">
      <c r="A314" s="19" t="s">
        <v>21</v>
      </c>
      <c r="B314" s="19" t="s">
        <v>41</v>
      </c>
      <c r="C314" s="19" t="s">
        <v>33</v>
      </c>
      <c r="D314" s="19" t="s">
        <v>52</v>
      </c>
      <c r="E314" s="19"/>
      <c r="F314" s="40" t="s">
        <v>454</v>
      </c>
      <c r="G314" s="19" t="s">
        <v>1107</v>
      </c>
      <c r="H314" s="19" t="s">
        <v>1108</v>
      </c>
      <c r="I314" s="19" t="s">
        <v>46</v>
      </c>
      <c r="J314" s="20">
        <v>33</v>
      </c>
      <c r="K314" s="20">
        <v>245</v>
      </c>
      <c r="L314" s="33">
        <f>WorkmanshipResultsTable[[#This Row],[Number of Failed Units]]/WorkmanshipResultsTable[[#This Row],[Total Units Built]]</f>
        <v>0.13469387755102041</v>
      </c>
      <c r="M314" s="25">
        <v>45810</v>
      </c>
      <c r="N314" s="19" t="s">
        <v>47</v>
      </c>
      <c r="O314" s="19" t="s">
        <v>48</v>
      </c>
      <c r="P314" s="20"/>
      <c r="Q314" s="19"/>
      <c r="R314" s="19"/>
      <c r="S314" s="19"/>
      <c r="T314" s="19"/>
      <c r="U314" s="21"/>
    </row>
    <row r="315" spans="1:21" ht="30.75">
      <c r="A315" s="19" t="s">
        <v>21</v>
      </c>
      <c r="B315" s="19" t="s">
        <v>41</v>
      </c>
      <c r="C315" s="19" t="s">
        <v>33</v>
      </c>
      <c r="D315" s="19" t="s">
        <v>582</v>
      </c>
      <c r="E315" s="19"/>
      <c r="F315" s="19" t="s">
        <v>1109</v>
      </c>
      <c r="G315" s="19" t="s">
        <v>1110</v>
      </c>
      <c r="H315" s="19" t="s">
        <v>1111</v>
      </c>
      <c r="I315" s="19" t="s">
        <v>46</v>
      </c>
      <c r="J315" s="20">
        <v>3</v>
      </c>
      <c r="K315" s="20">
        <v>22</v>
      </c>
      <c r="L315" s="33">
        <f>WorkmanshipResultsTable[[#This Row],[Number of Failed Units]]/WorkmanshipResultsTable[[#This Row],[Total Units Built]]</f>
        <v>0.13636363636363635</v>
      </c>
      <c r="M315" s="25">
        <v>45422</v>
      </c>
      <c r="N315" s="19" t="s">
        <v>47</v>
      </c>
      <c r="O315" s="19" t="s">
        <v>48</v>
      </c>
      <c r="P315" s="20"/>
      <c r="Q315" s="19"/>
      <c r="R315" s="19"/>
      <c r="S315" s="19"/>
      <c r="T315" s="19"/>
      <c r="U315" s="21"/>
    </row>
    <row r="316" spans="1:21" ht="30.75">
      <c r="A316" s="19" t="s">
        <v>21</v>
      </c>
      <c r="B316" s="19" t="s">
        <v>163</v>
      </c>
      <c r="C316" s="19" t="s">
        <v>33</v>
      </c>
      <c r="D316" s="19" t="s">
        <v>52</v>
      </c>
      <c r="E316" s="19"/>
      <c r="F316" s="19" t="s">
        <v>1112</v>
      </c>
      <c r="G316" s="19" t="s">
        <v>1113</v>
      </c>
      <c r="H316" s="19" t="s">
        <v>1114</v>
      </c>
      <c r="I316" s="19" t="s">
        <v>46</v>
      </c>
      <c r="J316" s="20">
        <v>4</v>
      </c>
      <c r="K316" s="20">
        <v>28</v>
      </c>
      <c r="L316" s="33">
        <f>WorkmanshipResultsTable[[#This Row],[Number of Failed Units]]/WorkmanshipResultsTable[[#This Row],[Total Units Built]]</f>
        <v>0.14285714285714285</v>
      </c>
      <c r="M316" s="25">
        <v>45715</v>
      </c>
      <c r="N316" s="19" t="s">
        <v>47</v>
      </c>
      <c r="O316" s="19" t="s">
        <v>48</v>
      </c>
      <c r="P316" s="20"/>
      <c r="Q316" s="19"/>
      <c r="R316" s="19"/>
      <c r="S316" s="19"/>
      <c r="T316" s="19"/>
      <c r="U316" s="21"/>
    </row>
    <row r="317" spans="1:21" ht="30.75">
      <c r="A317" s="19" t="s">
        <v>21</v>
      </c>
      <c r="B317" s="19" t="s">
        <v>41</v>
      </c>
      <c r="C317" s="19" t="s">
        <v>33</v>
      </c>
      <c r="D317" s="19" t="s">
        <v>1115</v>
      </c>
      <c r="E317" s="19"/>
      <c r="F317" s="19" t="s">
        <v>1116</v>
      </c>
      <c r="G317" s="19" t="s">
        <v>254</v>
      </c>
      <c r="H317" s="19" t="s">
        <v>687</v>
      </c>
      <c r="I317" s="19" t="s">
        <v>46</v>
      </c>
      <c r="J317" s="20">
        <v>10</v>
      </c>
      <c r="K317" s="20">
        <v>69</v>
      </c>
      <c r="L317" s="33">
        <f>WorkmanshipResultsTable[[#This Row],[Number of Failed Units]]/WorkmanshipResultsTable[[#This Row],[Total Units Built]]</f>
        <v>0.14492753623188406</v>
      </c>
      <c r="M317" s="25">
        <v>45810</v>
      </c>
      <c r="N317" s="19" t="s">
        <v>47</v>
      </c>
      <c r="O317" s="19" t="s">
        <v>48</v>
      </c>
      <c r="P317" s="20"/>
      <c r="Q317" s="19"/>
      <c r="R317" s="19"/>
      <c r="S317" s="19"/>
      <c r="T317" s="19"/>
      <c r="U317" s="21"/>
    </row>
    <row r="318" spans="1:21" ht="30.75">
      <c r="A318" s="19" t="s">
        <v>21</v>
      </c>
      <c r="B318" s="19" t="s">
        <v>63</v>
      </c>
      <c r="C318" s="19" t="s">
        <v>33</v>
      </c>
      <c r="D318" s="19" t="s">
        <v>623</v>
      </c>
      <c r="E318" s="19"/>
      <c r="F318" s="19" t="s">
        <v>1117</v>
      </c>
      <c r="G318" s="19" t="s">
        <v>1118</v>
      </c>
      <c r="H318" s="19" t="s">
        <v>501</v>
      </c>
      <c r="I318" s="19" t="s">
        <v>46</v>
      </c>
      <c r="J318" s="20">
        <v>7</v>
      </c>
      <c r="K318" s="20">
        <v>47</v>
      </c>
      <c r="L318" s="33">
        <f>WorkmanshipResultsTable[[#This Row],[Number of Failed Units]]/WorkmanshipResultsTable[[#This Row],[Total Units Built]]</f>
        <v>0.14893617021276595</v>
      </c>
      <c r="M318" s="25">
        <v>45412</v>
      </c>
      <c r="N318" s="19" t="s">
        <v>47</v>
      </c>
      <c r="O318" s="19" t="s">
        <v>48</v>
      </c>
      <c r="P318" s="20"/>
      <c r="Q318" s="19"/>
      <c r="R318" s="19"/>
      <c r="S318" s="19"/>
      <c r="T318" s="19"/>
      <c r="U318" s="21"/>
    </row>
    <row r="319" spans="1:21" ht="121.5">
      <c r="A319" s="19" t="s">
        <v>662</v>
      </c>
      <c r="B319" s="19" t="s">
        <v>41</v>
      </c>
      <c r="C319" s="19" t="s">
        <v>23</v>
      </c>
      <c r="D319" s="19" t="s">
        <v>728</v>
      </c>
      <c r="E319" s="19" t="s">
        <v>390</v>
      </c>
      <c r="F319" s="19" t="s">
        <v>1119</v>
      </c>
      <c r="G319" s="19" t="s">
        <v>666</v>
      </c>
      <c r="H319" s="19" t="s">
        <v>473</v>
      </c>
      <c r="I319" s="19" t="s">
        <v>130</v>
      </c>
      <c r="J319" s="20">
        <v>8</v>
      </c>
      <c r="K319" s="20">
        <v>50</v>
      </c>
      <c r="L319" s="35">
        <f>WorkmanshipResultsTable[[#This Row],[Number of Failed Units]]/WorkmanshipResultsTable[[#This Row],[Total Units Built]]</f>
        <v>0.16</v>
      </c>
      <c r="M319" s="26">
        <v>45973</v>
      </c>
      <c r="N319" s="19" t="s">
        <v>47</v>
      </c>
      <c r="O319" s="19" t="s">
        <v>131</v>
      </c>
      <c r="P319" s="20"/>
      <c r="Q319" s="19"/>
      <c r="R319" s="19"/>
      <c r="S319" s="19"/>
      <c r="T319" s="19"/>
      <c r="U319" s="39" t="s">
        <v>79</v>
      </c>
    </row>
    <row r="320" spans="1:21" ht="30.75">
      <c r="A320" s="19" t="s">
        <v>21</v>
      </c>
      <c r="B320" s="19" t="s">
        <v>63</v>
      </c>
      <c r="C320" s="19" t="s">
        <v>33</v>
      </c>
      <c r="D320" s="19" t="s">
        <v>582</v>
      </c>
      <c r="E320" s="19"/>
      <c r="F320" s="19" t="s">
        <v>1120</v>
      </c>
      <c r="G320" s="19" t="s">
        <v>1082</v>
      </c>
      <c r="H320" s="19" t="s">
        <v>1083</v>
      </c>
      <c r="I320" s="19" t="s">
        <v>46</v>
      </c>
      <c r="J320" s="20">
        <v>9</v>
      </c>
      <c r="K320" s="20">
        <v>56</v>
      </c>
      <c r="L320" s="33">
        <f>WorkmanshipResultsTable[[#This Row],[Number of Failed Units]]/WorkmanshipResultsTable[[#This Row],[Total Units Built]]</f>
        <v>0.16071428571428573</v>
      </c>
      <c r="M320" s="25">
        <v>45394</v>
      </c>
      <c r="N320" s="19" t="s">
        <v>47</v>
      </c>
      <c r="O320" s="19" t="s">
        <v>48</v>
      </c>
      <c r="P320" s="20"/>
      <c r="Q320" s="19"/>
      <c r="R320" s="19"/>
      <c r="S320" s="19"/>
      <c r="T320" s="19"/>
      <c r="U320" s="21"/>
    </row>
    <row r="321" spans="1:21" ht="91.5">
      <c r="A321" s="19" t="s">
        <v>21</v>
      </c>
      <c r="B321" s="19" t="s">
        <v>163</v>
      </c>
      <c r="C321" s="19" t="s">
        <v>33</v>
      </c>
      <c r="D321" s="19" t="s">
        <v>1121</v>
      </c>
      <c r="E321" s="19"/>
      <c r="F321" s="19" t="s">
        <v>1122</v>
      </c>
      <c r="G321" s="19" t="s">
        <v>1123</v>
      </c>
      <c r="H321" s="19" t="s">
        <v>482</v>
      </c>
      <c r="I321" s="19" t="s">
        <v>46</v>
      </c>
      <c r="J321" s="20">
        <v>6</v>
      </c>
      <c r="K321" s="20">
        <v>36</v>
      </c>
      <c r="L321" s="33">
        <f>WorkmanshipResultsTable[[#This Row],[Number of Failed Units]]/WorkmanshipResultsTable[[#This Row],[Total Units Built]]</f>
        <v>0.16666666666666666</v>
      </c>
      <c r="M321" s="25">
        <v>46170</v>
      </c>
      <c r="N321" s="19" t="s">
        <v>47</v>
      </c>
      <c r="O321" s="19" t="s">
        <v>48</v>
      </c>
      <c r="P321" s="20"/>
      <c r="Q321" s="19"/>
      <c r="R321" s="19"/>
      <c r="S321" s="19"/>
      <c r="T321" s="19"/>
      <c r="U321" s="21" t="s">
        <v>233</v>
      </c>
    </row>
    <row r="322" spans="1:21" ht="106.5">
      <c r="A322" s="19" t="s">
        <v>1060</v>
      </c>
      <c r="B322" s="19" t="s">
        <v>163</v>
      </c>
      <c r="C322" s="19" t="s">
        <v>33</v>
      </c>
      <c r="D322" s="19" t="s">
        <v>1121</v>
      </c>
      <c r="E322" s="39" t="s">
        <v>1124</v>
      </c>
      <c r="F322" s="19" t="s">
        <v>1125</v>
      </c>
      <c r="G322" s="19" t="s">
        <v>1126</v>
      </c>
      <c r="H322" s="19" t="s">
        <v>1127</v>
      </c>
      <c r="I322" s="19" t="s">
        <v>176</v>
      </c>
      <c r="J322" s="20">
        <v>1</v>
      </c>
      <c r="K322" s="20">
        <v>6</v>
      </c>
      <c r="L322" s="33">
        <f>WorkmanshipResultsTable[[#This Row],[Number of Failed Units]]/WorkmanshipResultsTable[[#This Row],[Total Units Built]]</f>
        <v>0.16666666666666666</v>
      </c>
      <c r="M322" s="25">
        <v>46200</v>
      </c>
      <c r="N322" s="27" t="s">
        <v>47</v>
      </c>
      <c r="O322" s="19" t="s">
        <v>177</v>
      </c>
      <c r="P322" s="20"/>
      <c r="Q322" s="19"/>
      <c r="R322" s="19"/>
      <c r="S322" s="19"/>
      <c r="T322" s="19"/>
      <c r="U322" s="21"/>
    </row>
    <row r="323" spans="1:21" ht="60.75">
      <c r="A323" s="19" t="s">
        <v>444</v>
      </c>
      <c r="B323" s="19" t="s">
        <v>163</v>
      </c>
      <c r="C323" s="19" t="s">
        <v>33</v>
      </c>
      <c r="D323" s="19" t="s">
        <v>1128</v>
      </c>
      <c r="E323" s="19"/>
      <c r="F323" s="19" t="s">
        <v>1129</v>
      </c>
      <c r="G323" s="19" t="s">
        <v>1130</v>
      </c>
      <c r="H323" s="19" t="s">
        <v>1131</v>
      </c>
      <c r="I323" s="19" t="s">
        <v>176</v>
      </c>
      <c r="J323" s="20">
        <v>4</v>
      </c>
      <c r="K323" s="20">
        <v>24</v>
      </c>
      <c r="L323" s="33">
        <f>WorkmanshipResultsTable[[#This Row],[Number of Failed Units]]/WorkmanshipResultsTable[[#This Row],[Total Units Built]]</f>
        <v>0.16666666666666666</v>
      </c>
      <c r="M323" s="25">
        <v>45948</v>
      </c>
      <c r="N323" s="27" t="s">
        <v>47</v>
      </c>
      <c r="O323" s="19" t="s">
        <v>177</v>
      </c>
      <c r="P323" s="20"/>
      <c r="Q323" s="19"/>
      <c r="R323" s="19"/>
      <c r="S323" s="19"/>
      <c r="T323" s="19"/>
      <c r="U323" s="21"/>
    </row>
    <row r="324" spans="1:21" ht="30.75">
      <c r="A324" s="19" t="s">
        <v>21</v>
      </c>
      <c r="B324" s="19" t="s">
        <v>41</v>
      </c>
      <c r="C324" s="19" t="s">
        <v>33</v>
      </c>
      <c r="D324" s="19" t="s">
        <v>582</v>
      </c>
      <c r="E324" s="19"/>
      <c r="F324" s="19" t="s">
        <v>1132</v>
      </c>
      <c r="G324" s="19" t="s">
        <v>1110</v>
      </c>
      <c r="H324" s="19" t="s">
        <v>1111</v>
      </c>
      <c r="I324" s="19" t="s">
        <v>46</v>
      </c>
      <c r="J324" s="20">
        <v>11</v>
      </c>
      <c r="K324" s="20">
        <v>66</v>
      </c>
      <c r="L324" s="33">
        <f>WorkmanshipResultsTable[[#This Row],[Number of Failed Units]]/WorkmanshipResultsTable[[#This Row],[Total Units Built]]</f>
        <v>0.16666666666666666</v>
      </c>
      <c r="M324" s="25">
        <v>45457</v>
      </c>
      <c r="N324" s="19" t="s">
        <v>47</v>
      </c>
      <c r="O324" s="19" t="s">
        <v>48</v>
      </c>
      <c r="P324" s="20"/>
      <c r="Q324" s="19"/>
      <c r="R324" s="19"/>
      <c r="S324" s="19"/>
      <c r="T324" s="19"/>
      <c r="U324" s="21"/>
    </row>
    <row r="325" spans="1:21" ht="45.75">
      <c r="A325" s="19" t="s">
        <v>21</v>
      </c>
      <c r="B325" s="19" t="s">
        <v>92</v>
      </c>
      <c r="C325" s="19" t="s">
        <v>33</v>
      </c>
      <c r="D325" s="19" t="s">
        <v>1133</v>
      </c>
      <c r="E325" s="19"/>
      <c r="F325" s="19" t="s">
        <v>1134</v>
      </c>
      <c r="G325" s="19" t="s">
        <v>94</v>
      </c>
      <c r="H325" s="19" t="s">
        <v>95</v>
      </c>
      <c r="I325" s="19" t="s">
        <v>46</v>
      </c>
      <c r="J325" s="20">
        <v>7</v>
      </c>
      <c r="K325" s="20">
        <v>41</v>
      </c>
      <c r="L325" s="33">
        <f>WorkmanshipResultsTable[[#This Row],[Number of Failed Units]]/WorkmanshipResultsTable[[#This Row],[Total Units Built]]</f>
        <v>0.17073170731707318</v>
      </c>
      <c r="M325" s="25">
        <v>45352</v>
      </c>
      <c r="N325" s="19" t="s">
        <v>47</v>
      </c>
      <c r="O325" s="19" t="s">
        <v>48</v>
      </c>
      <c r="P325" s="20"/>
      <c r="Q325" s="19"/>
      <c r="R325" s="19"/>
      <c r="S325" s="19"/>
      <c r="T325" s="19"/>
      <c r="U325" s="21"/>
    </row>
    <row r="326" spans="1:21" ht="45.75">
      <c r="A326" s="19" t="s">
        <v>21</v>
      </c>
      <c r="B326" s="19" t="s">
        <v>163</v>
      </c>
      <c r="C326" s="19" t="s">
        <v>33</v>
      </c>
      <c r="D326" s="19" t="s">
        <v>582</v>
      </c>
      <c r="E326" s="19"/>
      <c r="F326" s="19" t="s">
        <v>1135</v>
      </c>
      <c r="G326" s="19" t="s">
        <v>1136</v>
      </c>
      <c r="H326" s="19" t="s">
        <v>1137</v>
      </c>
      <c r="I326" s="19" t="s">
        <v>46</v>
      </c>
      <c r="J326" s="20">
        <v>3</v>
      </c>
      <c r="K326" s="20">
        <v>17</v>
      </c>
      <c r="L326" s="33">
        <f>WorkmanshipResultsTable[[#This Row],[Number of Failed Units]]/WorkmanshipResultsTable[[#This Row],[Total Units Built]]</f>
        <v>0.17647058823529413</v>
      </c>
      <c r="M326" s="25">
        <v>46249</v>
      </c>
      <c r="N326" s="19" t="s">
        <v>47</v>
      </c>
      <c r="O326" s="19" t="s">
        <v>48</v>
      </c>
      <c r="P326" s="20"/>
      <c r="Q326" s="19"/>
      <c r="R326" s="19"/>
      <c r="S326" s="19"/>
      <c r="T326" s="19"/>
      <c r="U326" s="21" t="s">
        <v>233</v>
      </c>
    </row>
    <row r="327" spans="1:21" ht="45.75">
      <c r="A327" s="19" t="s">
        <v>444</v>
      </c>
      <c r="B327" s="19" t="s">
        <v>41</v>
      </c>
      <c r="C327" s="19" t="s">
        <v>23</v>
      </c>
      <c r="D327" s="19" t="s">
        <v>158</v>
      </c>
      <c r="E327" s="19" t="s">
        <v>159</v>
      </c>
      <c r="F327" s="19" t="s">
        <v>1138</v>
      </c>
      <c r="G327" s="19" t="s">
        <v>1139</v>
      </c>
      <c r="H327" s="19" t="s">
        <v>1140</v>
      </c>
      <c r="I327" s="22" t="s">
        <v>38</v>
      </c>
      <c r="J327" s="20">
        <v>2</v>
      </c>
      <c r="K327" s="20">
        <v>11</v>
      </c>
      <c r="L327" s="35">
        <f>WorkmanshipResultsTable[[#This Row],[Number of Failed Units]]/WorkmanshipResultsTable[[#This Row],[Total Units Built]]</f>
        <v>0.18181818181818182</v>
      </c>
      <c r="M327" s="25">
        <v>45494</v>
      </c>
      <c r="N327" s="19" t="s">
        <v>47</v>
      </c>
      <c r="O327" s="19" t="s">
        <v>162</v>
      </c>
      <c r="P327" s="20"/>
      <c r="Q327" s="19"/>
      <c r="R327" s="19"/>
      <c r="S327" s="19"/>
      <c r="T327" s="19"/>
      <c r="U327" s="21"/>
    </row>
    <row r="328" spans="1:21" ht="45.75">
      <c r="A328" s="19" t="s">
        <v>21</v>
      </c>
      <c r="B328" s="19" t="s">
        <v>63</v>
      </c>
      <c r="C328" s="19" t="s">
        <v>33</v>
      </c>
      <c r="D328" s="19" t="s">
        <v>946</v>
      </c>
      <c r="E328" s="19"/>
      <c r="F328" s="19" t="s">
        <v>1141</v>
      </c>
      <c r="G328" s="19" t="s">
        <v>1142</v>
      </c>
      <c r="H328" s="19" t="s">
        <v>1143</v>
      </c>
      <c r="I328" s="19" t="s">
        <v>46</v>
      </c>
      <c r="J328" s="20">
        <v>6</v>
      </c>
      <c r="K328" s="20">
        <v>31</v>
      </c>
      <c r="L328" s="33">
        <f>WorkmanshipResultsTable[[#This Row],[Number of Failed Units]]/WorkmanshipResultsTable[[#This Row],[Total Units Built]]</f>
        <v>0.19354838709677419</v>
      </c>
      <c r="M328" s="25">
        <v>45924</v>
      </c>
      <c r="N328" s="19" t="s">
        <v>47</v>
      </c>
      <c r="O328" s="19" t="s">
        <v>48</v>
      </c>
      <c r="P328" s="20"/>
      <c r="Q328" s="19"/>
      <c r="R328" s="19"/>
      <c r="S328" s="19"/>
      <c r="T328" s="19"/>
      <c r="U328" s="21" t="s">
        <v>341</v>
      </c>
    </row>
    <row r="329" spans="1:21" ht="121.5">
      <c r="A329" s="19" t="s">
        <v>21</v>
      </c>
      <c r="B329" s="19" t="s">
        <v>63</v>
      </c>
      <c r="C329" s="19" t="s">
        <v>33</v>
      </c>
      <c r="D329" s="19" t="s">
        <v>1144</v>
      </c>
      <c r="E329" s="19"/>
      <c r="F329" s="19" t="s">
        <v>1145</v>
      </c>
      <c r="G329" s="19" t="s">
        <v>1146</v>
      </c>
      <c r="H329" s="19" t="s">
        <v>1147</v>
      </c>
      <c r="I329" s="19" t="s">
        <v>46</v>
      </c>
      <c r="J329" s="20">
        <v>12</v>
      </c>
      <c r="K329" s="20">
        <v>61</v>
      </c>
      <c r="L329" s="33">
        <f>WorkmanshipResultsTable[[#This Row],[Number of Failed Units]]/WorkmanshipResultsTable[[#This Row],[Total Units Built]]</f>
        <v>0.19672131147540983</v>
      </c>
      <c r="M329" s="25">
        <v>45895</v>
      </c>
      <c r="N329" s="19" t="s">
        <v>47</v>
      </c>
      <c r="O329" s="19" t="s">
        <v>48</v>
      </c>
      <c r="P329" s="20"/>
      <c r="Q329" s="19"/>
      <c r="R329" s="19"/>
      <c r="S329" s="19"/>
      <c r="T329" s="19"/>
      <c r="U329" s="21"/>
    </row>
    <row r="330" spans="1:21" ht="30.75">
      <c r="A330" s="19" t="s">
        <v>701</v>
      </c>
      <c r="B330" s="19" t="s">
        <v>41</v>
      </c>
      <c r="C330" s="19" t="s">
        <v>33</v>
      </c>
      <c r="D330" s="19" t="s">
        <v>702</v>
      </c>
      <c r="E330" s="19"/>
      <c r="F330" s="19" t="s">
        <v>1148</v>
      </c>
      <c r="G330" s="19" t="s">
        <v>1149</v>
      </c>
      <c r="H330" s="19" t="s">
        <v>1150</v>
      </c>
      <c r="I330" s="19" t="s">
        <v>176</v>
      </c>
      <c r="J330" s="20">
        <v>1</v>
      </c>
      <c r="K330" s="20">
        <v>5</v>
      </c>
      <c r="L330" s="33">
        <f>WorkmanshipResultsTable[[#This Row],[Number of Failed Units]]/WorkmanshipResultsTable[[#This Row],[Total Units Built]]</f>
        <v>0.2</v>
      </c>
      <c r="M330" s="25">
        <v>45510</v>
      </c>
      <c r="N330" s="27" t="s">
        <v>47</v>
      </c>
      <c r="O330" s="19" t="s">
        <v>177</v>
      </c>
      <c r="P330" s="20"/>
      <c r="Q330" s="19"/>
      <c r="R330" s="19"/>
      <c r="S330" s="19"/>
      <c r="T330" s="19"/>
      <c r="U330" s="21"/>
    </row>
    <row r="331" spans="1:21" ht="76.5">
      <c r="A331" s="19" t="s">
        <v>444</v>
      </c>
      <c r="B331" s="19" t="s">
        <v>41</v>
      </c>
      <c r="C331" s="19" t="s">
        <v>23</v>
      </c>
      <c r="D331" s="19" t="s">
        <v>158</v>
      </c>
      <c r="E331" s="19" t="s">
        <v>159</v>
      </c>
      <c r="F331" s="19" t="s">
        <v>1151</v>
      </c>
      <c r="G331" s="19" t="s">
        <v>1152</v>
      </c>
      <c r="H331" s="19" t="s">
        <v>1153</v>
      </c>
      <c r="I331" s="22" t="s">
        <v>38</v>
      </c>
      <c r="J331" s="20">
        <v>5</v>
      </c>
      <c r="K331" s="20">
        <v>25</v>
      </c>
      <c r="L331" s="35">
        <f>WorkmanshipResultsTable[[#This Row],[Number of Failed Units]]/WorkmanshipResultsTable[[#This Row],[Total Units Built]]</f>
        <v>0.2</v>
      </c>
      <c r="M331" s="25">
        <v>45578</v>
      </c>
      <c r="N331" s="19" t="s">
        <v>47</v>
      </c>
      <c r="O331" s="19" t="s">
        <v>162</v>
      </c>
      <c r="P331" s="20"/>
      <c r="Q331" s="19"/>
      <c r="R331" s="19"/>
      <c r="S331" s="19"/>
      <c r="T331" s="19"/>
      <c r="U331" s="21"/>
    </row>
    <row r="332" spans="1:21" ht="45.75">
      <c r="A332" s="19" t="s">
        <v>21</v>
      </c>
      <c r="B332" s="19" t="s">
        <v>92</v>
      </c>
      <c r="C332" s="19" t="s">
        <v>33</v>
      </c>
      <c r="D332" s="19" t="s">
        <v>1154</v>
      </c>
      <c r="E332" s="19"/>
      <c r="F332" s="19" t="s">
        <v>1155</v>
      </c>
      <c r="G332" s="19" t="s">
        <v>1156</v>
      </c>
      <c r="H332" s="19" t="s">
        <v>95</v>
      </c>
      <c r="I332" s="19" t="s">
        <v>46</v>
      </c>
      <c r="J332" s="20">
        <v>3</v>
      </c>
      <c r="K332" s="20">
        <v>15</v>
      </c>
      <c r="L332" s="33">
        <f>WorkmanshipResultsTable[[#This Row],[Number of Failed Units]]/WorkmanshipResultsTable[[#This Row],[Total Units Built]]</f>
        <v>0.2</v>
      </c>
      <c r="M332" s="25">
        <v>45329</v>
      </c>
      <c r="N332" s="19" t="s">
        <v>47</v>
      </c>
      <c r="O332" s="19" t="s">
        <v>48</v>
      </c>
      <c r="P332" s="20"/>
      <c r="Q332" s="19"/>
      <c r="R332" s="19"/>
      <c r="S332" s="19"/>
      <c r="T332" s="19"/>
      <c r="U332" s="21"/>
    </row>
    <row r="333" spans="1:21" ht="152.25">
      <c r="A333" s="19" t="s">
        <v>21</v>
      </c>
      <c r="B333" s="19" t="s">
        <v>63</v>
      </c>
      <c r="C333" s="19" t="s">
        <v>33</v>
      </c>
      <c r="D333" s="19" t="s">
        <v>582</v>
      </c>
      <c r="E333" s="19"/>
      <c r="F333" s="19" t="s">
        <v>1157</v>
      </c>
      <c r="G333" s="19" t="s">
        <v>678</v>
      </c>
      <c r="H333" s="19" t="s">
        <v>679</v>
      </c>
      <c r="I333" s="19" t="s">
        <v>46</v>
      </c>
      <c r="J333" s="20">
        <v>13</v>
      </c>
      <c r="K333" s="20">
        <v>65</v>
      </c>
      <c r="L333" s="33">
        <f>WorkmanshipResultsTable[[#This Row],[Number of Failed Units]]/WorkmanshipResultsTable[[#This Row],[Total Units Built]]</f>
        <v>0.2</v>
      </c>
      <c r="M333" s="25">
        <v>45504</v>
      </c>
      <c r="N333" s="19" t="s">
        <v>47</v>
      </c>
      <c r="O333" s="19" t="s">
        <v>48</v>
      </c>
      <c r="P333" s="20"/>
      <c r="Q333" s="19"/>
      <c r="R333" s="19"/>
      <c r="S333" s="19"/>
      <c r="T333" s="19"/>
      <c r="U333" s="21"/>
    </row>
    <row r="334" spans="1:21" ht="60.75">
      <c r="A334" s="19" t="s">
        <v>21</v>
      </c>
      <c r="B334" s="19" t="s">
        <v>63</v>
      </c>
      <c r="C334" s="19" t="s">
        <v>33</v>
      </c>
      <c r="D334" s="19" t="s">
        <v>582</v>
      </c>
      <c r="E334" s="19"/>
      <c r="F334" s="19" t="s">
        <v>1158</v>
      </c>
      <c r="G334" s="19" t="s">
        <v>678</v>
      </c>
      <c r="H334" s="19" t="s">
        <v>1159</v>
      </c>
      <c r="I334" s="19" t="s">
        <v>46</v>
      </c>
      <c r="J334" s="20">
        <v>6</v>
      </c>
      <c r="K334" s="20">
        <v>28</v>
      </c>
      <c r="L334" s="33">
        <f>WorkmanshipResultsTable[[#This Row],[Number of Failed Units]]/WorkmanshipResultsTable[[#This Row],[Total Units Built]]</f>
        <v>0.21428571428571427</v>
      </c>
      <c r="M334" s="25">
        <v>45429</v>
      </c>
      <c r="N334" s="19" t="s">
        <v>47</v>
      </c>
      <c r="O334" s="19" t="s">
        <v>48</v>
      </c>
      <c r="P334" s="20"/>
      <c r="Q334" s="19"/>
      <c r="R334" s="19"/>
      <c r="S334" s="19"/>
      <c r="T334" s="19"/>
      <c r="U334" s="21"/>
    </row>
    <row r="335" spans="1:21" ht="45.75">
      <c r="A335" s="19" t="s">
        <v>21</v>
      </c>
      <c r="B335" s="19" t="s">
        <v>92</v>
      </c>
      <c r="C335" s="19" t="s">
        <v>33</v>
      </c>
      <c r="D335" s="19" t="s">
        <v>714</v>
      </c>
      <c r="E335" s="19"/>
      <c r="F335" s="19" t="s">
        <v>1160</v>
      </c>
      <c r="G335" s="19" t="s">
        <v>94</v>
      </c>
      <c r="H335" s="19" t="s">
        <v>95</v>
      </c>
      <c r="I335" s="19" t="s">
        <v>46</v>
      </c>
      <c r="J335" s="20">
        <v>6</v>
      </c>
      <c r="K335" s="20">
        <v>27</v>
      </c>
      <c r="L335" s="33">
        <f>WorkmanshipResultsTable[[#This Row],[Number of Failed Units]]/WorkmanshipResultsTable[[#This Row],[Total Units Built]]</f>
        <v>0.22222222222222221</v>
      </c>
      <c r="M335" s="25">
        <v>45345</v>
      </c>
      <c r="N335" s="19" t="s">
        <v>47</v>
      </c>
      <c r="O335" s="19" t="s">
        <v>48</v>
      </c>
      <c r="P335" s="20"/>
      <c r="Q335" s="19"/>
      <c r="R335" s="19"/>
      <c r="S335" s="19"/>
      <c r="T335" s="19"/>
      <c r="U335" s="21"/>
    </row>
    <row r="336" spans="1:21" ht="152.25">
      <c r="A336" s="19" t="s">
        <v>21</v>
      </c>
      <c r="B336" s="19" t="s">
        <v>63</v>
      </c>
      <c r="C336" s="19" t="s">
        <v>33</v>
      </c>
      <c r="D336" s="19" t="s">
        <v>495</v>
      </c>
      <c r="E336" s="19"/>
      <c r="F336" s="19" t="s">
        <v>1161</v>
      </c>
      <c r="G336" s="19" t="s">
        <v>678</v>
      </c>
      <c r="H336" s="19" t="s">
        <v>679</v>
      </c>
      <c r="I336" s="19" t="s">
        <v>46</v>
      </c>
      <c r="J336" s="20">
        <v>4</v>
      </c>
      <c r="K336" s="20">
        <v>17</v>
      </c>
      <c r="L336" s="33">
        <f>WorkmanshipResultsTable[[#This Row],[Number of Failed Units]]/WorkmanshipResultsTable[[#This Row],[Total Units Built]]</f>
        <v>0.23529411764705882</v>
      </c>
      <c r="M336" s="25">
        <v>45513</v>
      </c>
      <c r="N336" s="19" t="s">
        <v>47</v>
      </c>
      <c r="O336" s="19" t="s">
        <v>48</v>
      </c>
      <c r="P336" s="20"/>
      <c r="Q336" s="19"/>
      <c r="R336" s="19"/>
      <c r="S336" s="19"/>
      <c r="T336" s="19"/>
      <c r="U336" s="21"/>
    </row>
    <row r="337" spans="1:21" ht="45.75">
      <c r="A337" s="19" t="s">
        <v>21</v>
      </c>
      <c r="B337" s="19" t="s">
        <v>41</v>
      </c>
      <c r="C337" s="19" t="s">
        <v>33</v>
      </c>
      <c r="D337" s="19" t="s">
        <v>286</v>
      </c>
      <c r="E337" s="19"/>
      <c r="F337" s="19" t="s">
        <v>1162</v>
      </c>
      <c r="G337" s="19" t="s">
        <v>61</v>
      </c>
      <c r="H337" s="19" t="s">
        <v>62</v>
      </c>
      <c r="I337" s="19" t="s">
        <v>46</v>
      </c>
      <c r="J337" s="20">
        <v>17</v>
      </c>
      <c r="K337" s="20">
        <v>64</v>
      </c>
      <c r="L337" s="33">
        <f>WorkmanshipResultsTable[[#This Row],[Number of Failed Units]]/WorkmanshipResultsTable[[#This Row],[Total Units Built]]</f>
        <v>0.265625</v>
      </c>
      <c r="M337" s="25">
        <v>45820</v>
      </c>
      <c r="N337" s="19" t="s">
        <v>47</v>
      </c>
      <c r="O337" s="19" t="s">
        <v>48</v>
      </c>
      <c r="P337" s="20"/>
      <c r="Q337" s="19"/>
      <c r="R337" s="19"/>
      <c r="S337" s="19"/>
      <c r="T337" s="19"/>
      <c r="U337" s="21"/>
    </row>
    <row r="338" spans="1:21" ht="60.75">
      <c r="A338" s="19" t="s">
        <v>21</v>
      </c>
      <c r="B338" s="19" t="s">
        <v>63</v>
      </c>
      <c r="C338" s="19" t="s">
        <v>33</v>
      </c>
      <c r="D338" s="19" t="s">
        <v>582</v>
      </c>
      <c r="E338" s="19"/>
      <c r="F338" s="19" t="s">
        <v>1163</v>
      </c>
      <c r="G338" s="19" t="s">
        <v>678</v>
      </c>
      <c r="H338" s="19" t="s">
        <v>1159</v>
      </c>
      <c r="I338" s="19" t="s">
        <v>46</v>
      </c>
      <c r="J338" s="20">
        <v>6</v>
      </c>
      <c r="K338" s="20">
        <v>22</v>
      </c>
      <c r="L338" s="33">
        <f>WorkmanshipResultsTable[[#This Row],[Number of Failed Units]]/WorkmanshipResultsTable[[#This Row],[Total Units Built]]</f>
        <v>0.27272727272727271</v>
      </c>
      <c r="M338" s="25">
        <v>45422</v>
      </c>
      <c r="N338" s="19" t="s">
        <v>47</v>
      </c>
      <c r="O338" s="19" t="s">
        <v>48</v>
      </c>
      <c r="P338" s="20"/>
      <c r="Q338" s="19"/>
      <c r="R338" s="19"/>
      <c r="S338" s="19"/>
      <c r="T338" s="19"/>
      <c r="U338" s="21"/>
    </row>
    <row r="339" spans="1:21" ht="45.75">
      <c r="A339" s="19" t="s">
        <v>21</v>
      </c>
      <c r="B339" s="19" t="s">
        <v>41</v>
      </c>
      <c r="C339" s="19" t="s">
        <v>33</v>
      </c>
      <c r="D339" s="19" t="s">
        <v>1095</v>
      </c>
      <c r="E339" s="19"/>
      <c r="F339" s="19" t="s">
        <v>1164</v>
      </c>
      <c r="G339" s="19" t="s">
        <v>61</v>
      </c>
      <c r="H339" s="19" t="s">
        <v>941</v>
      </c>
      <c r="I339" s="19" t="s">
        <v>46</v>
      </c>
      <c r="J339" s="20">
        <v>11</v>
      </c>
      <c r="K339" s="20">
        <v>39</v>
      </c>
      <c r="L339" s="33">
        <f>WorkmanshipResultsTable[[#This Row],[Number of Failed Units]]/WorkmanshipResultsTable[[#This Row],[Total Units Built]]</f>
        <v>0.28205128205128205</v>
      </c>
      <c r="M339" s="25">
        <v>45723</v>
      </c>
      <c r="N339" s="19" t="s">
        <v>47</v>
      </c>
      <c r="O339" s="19" t="s">
        <v>48</v>
      </c>
      <c r="P339" s="20"/>
      <c r="Q339" s="19"/>
      <c r="R339" s="19"/>
      <c r="S339" s="19"/>
      <c r="T339" s="19"/>
      <c r="U339" s="21"/>
    </row>
    <row r="340" spans="1:21" ht="45.75">
      <c r="A340" s="19" t="s">
        <v>21</v>
      </c>
      <c r="B340" s="19" t="s">
        <v>63</v>
      </c>
      <c r="C340" s="19" t="s">
        <v>33</v>
      </c>
      <c r="D340" s="19" t="s">
        <v>582</v>
      </c>
      <c r="E340" s="19"/>
      <c r="F340" s="19" t="s">
        <v>1165</v>
      </c>
      <c r="G340" s="19" t="s">
        <v>1166</v>
      </c>
      <c r="H340" s="19" t="s">
        <v>1167</v>
      </c>
      <c r="I340" s="19" t="s">
        <v>46</v>
      </c>
      <c r="J340" s="20">
        <v>8</v>
      </c>
      <c r="K340" s="20">
        <v>28</v>
      </c>
      <c r="L340" s="33">
        <f>WorkmanshipResultsTable[[#This Row],[Number of Failed Units]]/WorkmanshipResultsTable[[#This Row],[Total Units Built]]</f>
        <v>0.2857142857142857</v>
      </c>
      <c r="M340" s="25">
        <v>45427</v>
      </c>
      <c r="N340" s="19" t="s">
        <v>47</v>
      </c>
      <c r="O340" s="19" t="s">
        <v>48</v>
      </c>
      <c r="P340" s="20"/>
      <c r="Q340" s="19"/>
      <c r="R340" s="19"/>
      <c r="S340" s="19"/>
      <c r="T340" s="19"/>
      <c r="U340" s="21"/>
    </row>
    <row r="341" spans="1:21" ht="45.75">
      <c r="A341" s="19" t="s">
        <v>21</v>
      </c>
      <c r="B341" s="19" t="s">
        <v>92</v>
      </c>
      <c r="C341" s="19" t="s">
        <v>33</v>
      </c>
      <c r="D341" s="19" t="s">
        <v>1168</v>
      </c>
      <c r="E341" s="19"/>
      <c r="F341" s="19" t="s">
        <v>1169</v>
      </c>
      <c r="G341" s="19" t="s">
        <v>296</v>
      </c>
      <c r="H341" s="19" t="s">
        <v>297</v>
      </c>
      <c r="I341" s="19" t="s">
        <v>46</v>
      </c>
      <c r="J341" s="20">
        <v>6</v>
      </c>
      <c r="K341" s="20">
        <v>20</v>
      </c>
      <c r="L341" s="33">
        <f>WorkmanshipResultsTable[[#This Row],[Number of Failed Units]]/WorkmanshipResultsTable[[#This Row],[Total Units Built]]</f>
        <v>0.3</v>
      </c>
      <c r="M341" s="25">
        <v>45410</v>
      </c>
      <c r="N341" s="19" t="s">
        <v>47</v>
      </c>
      <c r="O341" s="19" t="s">
        <v>48</v>
      </c>
      <c r="P341" s="20"/>
      <c r="Q341" s="19"/>
      <c r="R341" s="19"/>
      <c r="S341" s="19"/>
      <c r="T341" s="19"/>
      <c r="U341" s="21"/>
    </row>
    <row r="342" spans="1:21" ht="45.75">
      <c r="A342" s="19" t="s">
        <v>21</v>
      </c>
      <c r="B342" s="19" t="s">
        <v>41</v>
      </c>
      <c r="C342" s="19" t="s">
        <v>33</v>
      </c>
      <c r="D342" s="19" t="s">
        <v>623</v>
      </c>
      <c r="E342" s="19"/>
      <c r="F342" s="19" t="s">
        <v>1170</v>
      </c>
      <c r="G342" s="19" t="s">
        <v>1171</v>
      </c>
      <c r="H342" s="19" t="s">
        <v>494</v>
      </c>
      <c r="I342" s="19" t="s">
        <v>46</v>
      </c>
      <c r="J342" s="20">
        <v>12</v>
      </c>
      <c r="K342" s="20">
        <v>40</v>
      </c>
      <c r="L342" s="33">
        <f>WorkmanshipResultsTable[[#This Row],[Number of Failed Units]]/WorkmanshipResultsTable[[#This Row],[Total Units Built]]</f>
        <v>0.3</v>
      </c>
      <c r="M342" s="25">
        <v>45807</v>
      </c>
      <c r="N342" s="19" t="s">
        <v>47</v>
      </c>
      <c r="O342" s="19" t="s">
        <v>48</v>
      </c>
      <c r="P342" s="20"/>
      <c r="Q342" s="19"/>
      <c r="R342" s="19"/>
      <c r="S342" s="19"/>
      <c r="T342" s="19"/>
      <c r="U342" s="21"/>
    </row>
    <row r="343" spans="1:21" ht="76.5">
      <c r="A343" s="19" t="s">
        <v>21</v>
      </c>
      <c r="B343" s="19" t="s">
        <v>85</v>
      </c>
      <c r="C343" s="19" t="s">
        <v>33</v>
      </c>
      <c r="D343" s="19" t="s">
        <v>286</v>
      </c>
      <c r="E343" s="19"/>
      <c r="F343" s="19" t="s">
        <v>1172</v>
      </c>
      <c r="G343" s="19" t="s">
        <v>1173</v>
      </c>
      <c r="H343" s="19" t="s">
        <v>1174</v>
      </c>
      <c r="I343" s="19" t="s">
        <v>46</v>
      </c>
      <c r="J343" s="20">
        <v>5</v>
      </c>
      <c r="K343" s="20">
        <v>16</v>
      </c>
      <c r="L343" s="33">
        <f>WorkmanshipResultsTable[[#This Row],[Number of Failed Units]]/WorkmanshipResultsTable[[#This Row],[Total Units Built]]</f>
        <v>0.3125</v>
      </c>
      <c r="M343" s="25">
        <v>46182</v>
      </c>
      <c r="N343" s="19" t="s">
        <v>47</v>
      </c>
      <c r="O343" s="19" t="s">
        <v>48</v>
      </c>
      <c r="P343" s="20"/>
      <c r="Q343" s="19"/>
      <c r="R343" s="19"/>
      <c r="S343" s="19"/>
      <c r="T343" s="19"/>
      <c r="U343" s="21" t="s">
        <v>233</v>
      </c>
    </row>
    <row r="344" spans="1:21" ht="45.75">
      <c r="A344" s="19" t="s">
        <v>21</v>
      </c>
      <c r="B344" s="19" t="s">
        <v>63</v>
      </c>
      <c r="C344" s="19" t="s">
        <v>33</v>
      </c>
      <c r="D344" s="19" t="s">
        <v>495</v>
      </c>
      <c r="E344" s="19"/>
      <c r="F344" s="19" t="s">
        <v>1175</v>
      </c>
      <c r="G344" s="19" t="s">
        <v>1176</v>
      </c>
      <c r="H344" s="19" t="s">
        <v>1083</v>
      </c>
      <c r="I344" s="19" t="s">
        <v>46</v>
      </c>
      <c r="J344" s="20">
        <v>13</v>
      </c>
      <c r="K344" s="20">
        <v>40</v>
      </c>
      <c r="L344" s="33">
        <f>WorkmanshipResultsTable[[#This Row],[Number of Failed Units]]/WorkmanshipResultsTable[[#This Row],[Total Units Built]]</f>
        <v>0.32500000000000001</v>
      </c>
      <c r="M344" s="25">
        <v>45387</v>
      </c>
      <c r="N344" s="19" t="s">
        <v>47</v>
      </c>
      <c r="O344" s="19" t="s">
        <v>48</v>
      </c>
      <c r="P344" s="20"/>
      <c r="Q344" s="19"/>
      <c r="R344" s="19"/>
      <c r="S344" s="19"/>
      <c r="T344" s="19"/>
      <c r="U344" s="21"/>
    </row>
    <row r="345" spans="1:21" ht="106.5">
      <c r="A345" s="19" t="s">
        <v>21</v>
      </c>
      <c r="B345" s="19" t="s">
        <v>41</v>
      </c>
      <c r="C345" s="19" t="s">
        <v>33</v>
      </c>
      <c r="D345" s="19" t="s">
        <v>981</v>
      </c>
      <c r="E345" s="19"/>
      <c r="F345" s="19" t="s">
        <v>1177</v>
      </c>
      <c r="G345" s="19" t="s">
        <v>645</v>
      </c>
      <c r="H345" s="19" t="s">
        <v>1178</v>
      </c>
      <c r="I345" s="19" t="s">
        <v>46</v>
      </c>
      <c r="J345" s="20">
        <v>1</v>
      </c>
      <c r="K345" s="20">
        <v>3</v>
      </c>
      <c r="L345" s="33">
        <f>WorkmanshipResultsTable[[#This Row],[Number of Failed Units]]/WorkmanshipResultsTable[[#This Row],[Total Units Built]]</f>
        <v>0.33333333333333331</v>
      </c>
      <c r="M345" s="25">
        <v>45785</v>
      </c>
      <c r="N345" s="19" t="s">
        <v>47</v>
      </c>
      <c r="O345" s="19" t="s">
        <v>48</v>
      </c>
      <c r="P345" s="20"/>
      <c r="Q345" s="19"/>
      <c r="R345" s="19"/>
      <c r="S345" s="19"/>
      <c r="T345" s="19"/>
      <c r="U345" s="21"/>
    </row>
    <row r="346" spans="1:21" ht="30.75">
      <c r="A346" s="19" t="s">
        <v>21</v>
      </c>
      <c r="B346" s="19" t="s">
        <v>41</v>
      </c>
      <c r="C346" s="19" t="s">
        <v>33</v>
      </c>
      <c r="D346" s="19" t="s">
        <v>246</v>
      </c>
      <c r="E346" s="19"/>
      <c r="F346" s="19" t="s">
        <v>1179</v>
      </c>
      <c r="G346" s="19" t="s">
        <v>645</v>
      </c>
      <c r="H346" s="19" t="s">
        <v>646</v>
      </c>
      <c r="I346" s="19" t="s">
        <v>46</v>
      </c>
      <c r="J346" s="20">
        <v>1</v>
      </c>
      <c r="K346" s="20">
        <v>3</v>
      </c>
      <c r="L346" s="33">
        <f>WorkmanshipResultsTable[[#This Row],[Number of Failed Units]]/WorkmanshipResultsTable[[#This Row],[Total Units Built]]</f>
        <v>0.33333333333333331</v>
      </c>
      <c r="M346" s="25">
        <v>45785</v>
      </c>
      <c r="N346" s="19" t="s">
        <v>47</v>
      </c>
      <c r="O346" s="19" t="s">
        <v>48</v>
      </c>
      <c r="P346" s="20"/>
      <c r="Q346" s="19"/>
      <c r="R346" s="19"/>
      <c r="S346" s="19"/>
      <c r="T346" s="19"/>
      <c r="U346" s="21"/>
    </row>
    <row r="347" spans="1:21" ht="106.5">
      <c r="A347" s="19" t="s">
        <v>444</v>
      </c>
      <c r="B347" s="19" t="s">
        <v>41</v>
      </c>
      <c r="C347" s="19" t="s">
        <v>33</v>
      </c>
      <c r="D347" s="19" t="s">
        <v>1180</v>
      </c>
      <c r="E347" s="19"/>
      <c r="F347" s="19" t="s">
        <v>1181</v>
      </c>
      <c r="G347" s="19" t="s">
        <v>697</v>
      </c>
      <c r="H347" s="19" t="s">
        <v>1182</v>
      </c>
      <c r="I347" s="19" t="s">
        <v>176</v>
      </c>
      <c r="J347" s="20">
        <v>2</v>
      </c>
      <c r="K347" s="20">
        <v>6</v>
      </c>
      <c r="L347" s="33">
        <f>WorkmanshipResultsTable[[#This Row],[Number of Failed Units]]/WorkmanshipResultsTable[[#This Row],[Total Units Built]]</f>
        <v>0.33333333333333331</v>
      </c>
      <c r="M347" s="25">
        <v>46063</v>
      </c>
      <c r="N347" s="27" t="s">
        <v>47</v>
      </c>
      <c r="O347" s="19" t="s">
        <v>177</v>
      </c>
      <c r="P347" s="20"/>
      <c r="Q347" s="19"/>
      <c r="R347" s="19"/>
      <c r="S347" s="19"/>
      <c r="T347" s="19"/>
      <c r="U347" s="21"/>
    </row>
    <row r="348" spans="1:21" ht="45.75">
      <c r="A348" s="19" t="s">
        <v>662</v>
      </c>
      <c r="B348" s="19" t="s">
        <v>41</v>
      </c>
      <c r="C348" s="19" t="s">
        <v>23</v>
      </c>
      <c r="D348" s="19" t="s">
        <v>1183</v>
      </c>
      <c r="E348" s="19" t="s">
        <v>839</v>
      </c>
      <c r="F348" s="19" t="s">
        <v>1184</v>
      </c>
      <c r="G348" s="19" t="s">
        <v>1185</v>
      </c>
      <c r="H348" s="19" t="s">
        <v>772</v>
      </c>
      <c r="I348" s="19" t="s">
        <v>130</v>
      </c>
      <c r="J348" s="20">
        <v>3</v>
      </c>
      <c r="K348" s="20">
        <v>9</v>
      </c>
      <c r="L348" s="35">
        <f>WorkmanshipResultsTable[[#This Row],[Number of Failed Units]]/WorkmanshipResultsTable[[#This Row],[Total Units Built]]</f>
        <v>0.33333333333333331</v>
      </c>
      <c r="M348" s="26">
        <v>46100</v>
      </c>
      <c r="N348" s="19" t="s">
        <v>47</v>
      </c>
      <c r="O348" s="19" t="s">
        <v>131</v>
      </c>
      <c r="P348" s="20"/>
      <c r="Q348" s="19"/>
      <c r="R348" s="19"/>
      <c r="S348" s="19"/>
      <c r="T348" s="19"/>
      <c r="U348" s="39" t="s">
        <v>79</v>
      </c>
    </row>
    <row r="349" spans="1:21" ht="60.75">
      <c r="A349" s="19" t="s">
        <v>662</v>
      </c>
      <c r="B349" s="19" t="s">
        <v>92</v>
      </c>
      <c r="C349" s="19" t="s">
        <v>23</v>
      </c>
      <c r="D349" s="19" t="s">
        <v>463</v>
      </c>
      <c r="E349" s="19" t="s">
        <v>1186</v>
      </c>
      <c r="F349" s="19" t="s">
        <v>1187</v>
      </c>
      <c r="G349" s="19" t="s">
        <v>771</v>
      </c>
      <c r="H349" s="19" t="s">
        <v>772</v>
      </c>
      <c r="I349" s="19" t="s">
        <v>130</v>
      </c>
      <c r="J349" s="20">
        <v>3</v>
      </c>
      <c r="K349" s="20">
        <v>9</v>
      </c>
      <c r="L349" s="35">
        <f>WorkmanshipResultsTable[[#This Row],[Number of Failed Units]]/WorkmanshipResultsTable[[#This Row],[Total Units Built]]</f>
        <v>0.33333333333333331</v>
      </c>
      <c r="M349" s="26">
        <v>45981</v>
      </c>
      <c r="N349" s="19" t="s">
        <v>47</v>
      </c>
      <c r="O349" s="19" t="s">
        <v>131</v>
      </c>
      <c r="P349" s="20"/>
      <c r="Q349" s="19"/>
      <c r="R349" s="19"/>
      <c r="S349" s="19"/>
      <c r="T349" s="19"/>
      <c r="U349" s="39" t="s">
        <v>79</v>
      </c>
    </row>
    <row r="350" spans="1:21" ht="30.75">
      <c r="A350" s="19" t="s">
        <v>21</v>
      </c>
      <c r="B350" s="19" t="s">
        <v>212</v>
      </c>
      <c r="C350" s="19" t="s">
        <v>23</v>
      </c>
      <c r="D350" s="19" t="s">
        <v>1188</v>
      </c>
      <c r="E350" s="19" t="s">
        <v>1189</v>
      </c>
      <c r="F350" s="19" t="s">
        <v>1190</v>
      </c>
      <c r="G350" s="19" t="s">
        <v>216</v>
      </c>
      <c r="H350" s="19"/>
      <c r="I350" s="19" t="s">
        <v>111</v>
      </c>
      <c r="J350" s="20">
        <v>1</v>
      </c>
      <c r="K350" s="20">
        <v>3</v>
      </c>
      <c r="L350" s="33">
        <f>WorkmanshipResultsTable[[#This Row],[Number of Failed Units]]/WorkmanshipResultsTable[[#This Row],[Total Units Built]]</f>
        <v>0.33333333333333331</v>
      </c>
      <c r="M350" s="25">
        <v>45597</v>
      </c>
      <c r="N350" s="19" t="s">
        <v>29</v>
      </c>
      <c r="O350" s="19" t="s">
        <v>30</v>
      </c>
      <c r="P350" s="20" t="s">
        <v>1191</v>
      </c>
      <c r="Q350" s="19"/>
      <c r="R350" s="19"/>
      <c r="S350" s="19"/>
      <c r="T350" s="19"/>
      <c r="U350" s="21"/>
    </row>
    <row r="351" spans="1:21" ht="30.75">
      <c r="A351" s="19" t="s">
        <v>21</v>
      </c>
      <c r="B351" s="19" t="s">
        <v>212</v>
      </c>
      <c r="C351" s="19" t="s">
        <v>23</v>
      </c>
      <c r="D351" s="19" t="s">
        <v>1188</v>
      </c>
      <c r="E351" s="19" t="s">
        <v>706</v>
      </c>
      <c r="F351" s="19" t="s">
        <v>1192</v>
      </c>
      <c r="G351" s="19" t="s">
        <v>216</v>
      </c>
      <c r="H351" s="19"/>
      <c r="I351" s="19" t="s">
        <v>111</v>
      </c>
      <c r="J351" s="20">
        <v>1</v>
      </c>
      <c r="K351" s="20">
        <v>3</v>
      </c>
      <c r="L351" s="33">
        <f>WorkmanshipResultsTable[[#This Row],[Number of Failed Units]]/WorkmanshipResultsTable[[#This Row],[Total Units Built]]</f>
        <v>0.33333333333333331</v>
      </c>
      <c r="M351" s="25">
        <v>45597</v>
      </c>
      <c r="N351" s="19" t="s">
        <v>29</v>
      </c>
      <c r="O351" s="19" t="s">
        <v>30</v>
      </c>
      <c r="P351" s="20" t="s">
        <v>1193</v>
      </c>
      <c r="Q351" s="19"/>
      <c r="R351" s="19"/>
      <c r="S351" s="19"/>
      <c r="T351" s="19"/>
      <c r="U351" s="21"/>
    </row>
    <row r="352" spans="1:21" ht="30.75">
      <c r="A352" s="19" t="s">
        <v>21</v>
      </c>
      <c r="B352" s="19" t="s">
        <v>212</v>
      </c>
      <c r="C352" s="19" t="s">
        <v>23</v>
      </c>
      <c r="D352" s="19" t="s">
        <v>1188</v>
      </c>
      <c r="E352" s="19" t="s">
        <v>706</v>
      </c>
      <c r="F352" s="19" t="s">
        <v>1194</v>
      </c>
      <c r="G352" s="19" t="s">
        <v>216</v>
      </c>
      <c r="H352" s="19"/>
      <c r="I352" s="19" t="s">
        <v>111</v>
      </c>
      <c r="J352" s="20">
        <v>1</v>
      </c>
      <c r="K352" s="20">
        <v>3</v>
      </c>
      <c r="L352" s="33">
        <f>WorkmanshipResultsTable[[#This Row],[Number of Failed Units]]/WorkmanshipResultsTable[[#This Row],[Total Units Built]]</f>
        <v>0.33333333333333331</v>
      </c>
      <c r="M352" s="25">
        <v>45597</v>
      </c>
      <c r="N352" s="19" t="s">
        <v>29</v>
      </c>
      <c r="O352" s="19" t="s">
        <v>30</v>
      </c>
      <c r="P352" s="20" t="s">
        <v>1195</v>
      </c>
      <c r="Q352" s="19"/>
      <c r="R352" s="19"/>
      <c r="S352" s="19"/>
      <c r="T352" s="19"/>
      <c r="U352" s="21"/>
    </row>
    <row r="353" spans="1:21" ht="30.75">
      <c r="A353" s="19" t="s">
        <v>21</v>
      </c>
      <c r="B353" s="19" t="s">
        <v>63</v>
      </c>
      <c r="C353" s="19" t="s">
        <v>33</v>
      </c>
      <c r="D353" s="19" t="s">
        <v>582</v>
      </c>
      <c r="E353" s="19"/>
      <c r="F353" s="19" t="s">
        <v>1196</v>
      </c>
      <c r="G353" s="19" t="s">
        <v>1197</v>
      </c>
      <c r="H353" s="19" t="s">
        <v>1137</v>
      </c>
      <c r="I353" s="19" t="s">
        <v>46</v>
      </c>
      <c r="J353" s="20">
        <v>6</v>
      </c>
      <c r="K353" s="20">
        <v>17</v>
      </c>
      <c r="L353" s="33">
        <f>WorkmanshipResultsTable[[#This Row],[Number of Failed Units]]/WorkmanshipResultsTable[[#This Row],[Total Units Built]]</f>
        <v>0.35294117647058826</v>
      </c>
      <c r="M353" s="25">
        <v>46249</v>
      </c>
      <c r="N353" s="19" t="s">
        <v>47</v>
      </c>
      <c r="O353" s="19" t="s">
        <v>48</v>
      </c>
      <c r="P353" s="20"/>
      <c r="Q353" s="19"/>
      <c r="R353" s="19"/>
      <c r="S353" s="19"/>
      <c r="T353" s="19"/>
      <c r="U353" s="21" t="s">
        <v>233</v>
      </c>
    </row>
    <row r="354" spans="1:21" ht="30.75">
      <c r="A354" s="19" t="s">
        <v>21</v>
      </c>
      <c r="B354" s="19" t="s">
        <v>63</v>
      </c>
      <c r="C354" s="19" t="s">
        <v>33</v>
      </c>
      <c r="D354" s="19" t="s">
        <v>1198</v>
      </c>
      <c r="E354" s="19"/>
      <c r="F354" s="19" t="s">
        <v>1199</v>
      </c>
      <c r="G354" s="19" t="s">
        <v>1200</v>
      </c>
      <c r="H354" s="19" t="s">
        <v>1201</v>
      </c>
      <c r="I354" s="19" t="s">
        <v>46</v>
      </c>
      <c r="J354" s="20">
        <v>6</v>
      </c>
      <c r="K354" s="20">
        <v>16</v>
      </c>
      <c r="L354" s="33">
        <f>WorkmanshipResultsTable[[#This Row],[Number of Failed Units]]/WorkmanshipResultsTable[[#This Row],[Total Units Built]]</f>
        <v>0.375</v>
      </c>
      <c r="M354" s="25">
        <v>45383</v>
      </c>
      <c r="N354" s="19" t="s">
        <v>47</v>
      </c>
      <c r="O354" s="19" t="s">
        <v>48</v>
      </c>
      <c r="P354" s="20"/>
      <c r="Q354" s="19"/>
      <c r="R354" s="19"/>
      <c r="S354" s="19"/>
      <c r="T354" s="19"/>
      <c r="U354" s="21"/>
    </row>
    <row r="355" spans="1:21" ht="106.5">
      <c r="A355" s="19" t="s">
        <v>21</v>
      </c>
      <c r="B355" s="19" t="s">
        <v>41</v>
      </c>
      <c r="C355" s="19" t="s">
        <v>33</v>
      </c>
      <c r="D355" s="19" t="s">
        <v>842</v>
      </c>
      <c r="E355" s="19"/>
      <c r="F355" s="19" t="s">
        <v>1202</v>
      </c>
      <c r="G355" s="19" t="s">
        <v>645</v>
      </c>
      <c r="H355" s="19" t="s">
        <v>1178</v>
      </c>
      <c r="I355" s="19" t="s">
        <v>46</v>
      </c>
      <c r="J355" s="20">
        <v>10</v>
      </c>
      <c r="K355" s="20">
        <v>24</v>
      </c>
      <c r="L355" s="33">
        <f>WorkmanshipResultsTable[[#This Row],[Number of Failed Units]]/WorkmanshipResultsTable[[#This Row],[Total Units Built]]</f>
        <v>0.41666666666666669</v>
      </c>
      <c r="M355" s="25">
        <v>45776</v>
      </c>
      <c r="N355" s="19" t="s">
        <v>47</v>
      </c>
      <c r="O355" s="19" t="s">
        <v>48</v>
      </c>
      <c r="P355" s="20"/>
      <c r="Q355" s="19"/>
      <c r="R355" s="19"/>
      <c r="S355" s="19"/>
      <c r="T355" s="19"/>
      <c r="U355" s="21"/>
    </row>
    <row r="356" spans="1:21" ht="45.75">
      <c r="A356" s="19" t="s">
        <v>21</v>
      </c>
      <c r="B356" s="19" t="s">
        <v>41</v>
      </c>
      <c r="C356" s="19" t="s">
        <v>33</v>
      </c>
      <c r="D356" s="19" t="s">
        <v>1203</v>
      </c>
      <c r="E356" s="19"/>
      <c r="F356" s="19" t="s">
        <v>1204</v>
      </c>
      <c r="G356" s="19" t="s">
        <v>1205</v>
      </c>
      <c r="H356" s="19" t="s">
        <v>436</v>
      </c>
      <c r="I356" s="19" t="s">
        <v>46</v>
      </c>
      <c r="J356" s="20">
        <v>10</v>
      </c>
      <c r="K356" s="20">
        <v>14</v>
      </c>
      <c r="L356" s="33">
        <f>WorkmanshipResultsTable[[#This Row],[Number of Failed Units]]/WorkmanshipResultsTable[[#This Row],[Total Units Built]]</f>
        <v>0.7142857142857143</v>
      </c>
      <c r="M356" s="25">
        <v>45506</v>
      </c>
      <c r="N356" s="19" t="s">
        <v>47</v>
      </c>
      <c r="O356" s="19" t="s">
        <v>48</v>
      </c>
      <c r="P356" s="20"/>
      <c r="Q356" s="19"/>
      <c r="R356" s="19"/>
      <c r="S356" s="19"/>
      <c r="T356" s="19"/>
      <c r="U356" s="21"/>
    </row>
    <row r="357" spans="1:21" ht="30.75">
      <c r="A357" s="19" t="s">
        <v>21</v>
      </c>
      <c r="B357" s="19" t="s">
        <v>41</v>
      </c>
      <c r="C357" s="19" t="s">
        <v>33</v>
      </c>
      <c r="D357" s="19" t="s">
        <v>42</v>
      </c>
      <c r="E357" s="19"/>
      <c r="F357" s="19" t="s">
        <v>1206</v>
      </c>
      <c r="G357" s="19" t="s">
        <v>1207</v>
      </c>
      <c r="H357" s="19" t="s">
        <v>1208</v>
      </c>
      <c r="I357" s="19" t="s">
        <v>46</v>
      </c>
      <c r="J357" s="20">
        <v>12</v>
      </c>
      <c r="K357" s="20">
        <v>16</v>
      </c>
      <c r="L357" s="33">
        <f>WorkmanshipResultsTable[[#This Row],[Number of Failed Units]]/WorkmanshipResultsTable[[#This Row],[Total Units Built]]</f>
        <v>0.75</v>
      </c>
      <c r="M357" s="25">
        <v>45457</v>
      </c>
      <c r="N357" s="19" t="s">
        <v>47</v>
      </c>
      <c r="O357" s="19" t="s">
        <v>48</v>
      </c>
      <c r="P357" s="20"/>
      <c r="Q357" s="19"/>
      <c r="R357" s="19"/>
      <c r="S357" s="19"/>
      <c r="T357" s="19"/>
      <c r="U357" s="21"/>
    </row>
    <row r="358" spans="1:21" ht="91.5">
      <c r="A358" s="19" t="s">
        <v>21</v>
      </c>
      <c r="B358" s="19" t="s">
        <v>163</v>
      </c>
      <c r="C358" s="19" t="s">
        <v>33</v>
      </c>
      <c r="D358" s="19" t="s">
        <v>286</v>
      </c>
      <c r="E358" s="19"/>
      <c r="F358" s="19" t="s">
        <v>1209</v>
      </c>
      <c r="G358" s="19" t="s">
        <v>1210</v>
      </c>
      <c r="H358" s="19" t="s">
        <v>482</v>
      </c>
      <c r="I358" s="19" t="s">
        <v>46</v>
      </c>
      <c r="J358" s="20">
        <v>13</v>
      </c>
      <c r="K358" s="20">
        <v>14</v>
      </c>
      <c r="L358" s="33">
        <f>WorkmanshipResultsTable[[#This Row],[Number of Failed Units]]/WorkmanshipResultsTable[[#This Row],[Total Units Built]]</f>
        <v>0.9285714285714286</v>
      </c>
      <c r="M358" s="25">
        <v>46120</v>
      </c>
      <c r="N358" s="19" t="s">
        <v>47</v>
      </c>
      <c r="O358" s="19" t="s">
        <v>48</v>
      </c>
      <c r="P358" s="20"/>
      <c r="Q358" s="19"/>
      <c r="R358" s="19"/>
      <c r="S358" s="19"/>
      <c r="T358" s="19"/>
      <c r="U358" s="21" t="s">
        <v>233</v>
      </c>
    </row>
    <row r="359" spans="1:21" ht="91.5">
      <c r="A359" s="19" t="s">
        <v>191</v>
      </c>
      <c r="B359" s="19" t="s">
        <v>531</v>
      </c>
      <c r="C359" s="19" t="s">
        <v>33</v>
      </c>
      <c r="D359" s="19" t="s">
        <v>1211</v>
      </c>
      <c r="E359" s="19" t="s">
        <v>1212</v>
      </c>
      <c r="F359" s="19"/>
      <c r="G359" s="19" t="s">
        <v>1213</v>
      </c>
      <c r="H359" s="19" t="s">
        <v>1214</v>
      </c>
      <c r="I359" s="19" t="s">
        <v>1215</v>
      </c>
      <c r="J359" s="23">
        <v>9</v>
      </c>
      <c r="K359" s="23">
        <v>9</v>
      </c>
      <c r="L359" s="33">
        <f>IF(OR(J359="",K359="",K359=0),"",J359/K359)</f>
        <v>1</v>
      </c>
      <c r="M359" s="24">
        <v>45604</v>
      </c>
      <c r="N359" s="19" t="s">
        <v>372</v>
      </c>
      <c r="O359" s="19" t="s">
        <v>1216</v>
      </c>
      <c r="P359" s="20" t="s">
        <v>1217</v>
      </c>
      <c r="Q359" s="19" t="s">
        <v>1218</v>
      </c>
      <c r="R359" s="19" t="s">
        <v>1219</v>
      </c>
      <c r="S359" s="19" t="s">
        <v>189</v>
      </c>
      <c r="T359" s="19" t="s">
        <v>1220</v>
      </c>
      <c r="U359" s="39" t="s">
        <v>378</v>
      </c>
    </row>
    <row r="360" spans="1:21" ht="91.5">
      <c r="A360" s="19" t="s">
        <v>157</v>
      </c>
      <c r="B360" s="19" t="s">
        <v>212</v>
      </c>
      <c r="C360" s="19" t="s">
        <v>33</v>
      </c>
      <c r="D360" s="19" t="s">
        <v>1221</v>
      </c>
      <c r="E360" s="19"/>
      <c r="F360" s="19"/>
      <c r="G360" s="19" t="s">
        <v>1222</v>
      </c>
      <c r="H360" s="19" t="s">
        <v>1223</v>
      </c>
      <c r="I360" s="22" t="s">
        <v>176</v>
      </c>
      <c r="J360" s="23">
        <v>70</v>
      </c>
      <c r="K360" s="23">
        <v>70</v>
      </c>
      <c r="L360" s="33">
        <v>1</v>
      </c>
      <c r="M360" s="24">
        <v>45756</v>
      </c>
      <c r="N360" s="19" t="s">
        <v>372</v>
      </c>
      <c r="O360" s="19" t="s">
        <v>1224</v>
      </c>
      <c r="P360" s="20" t="s">
        <v>1225</v>
      </c>
      <c r="Q360" s="19" t="s">
        <v>1226</v>
      </c>
      <c r="R360" s="19" t="s">
        <v>1227</v>
      </c>
      <c r="S360" s="19" t="s">
        <v>189</v>
      </c>
      <c r="T360" s="19" t="s">
        <v>377</v>
      </c>
      <c r="U360" s="39" t="s">
        <v>378</v>
      </c>
    </row>
    <row r="361" spans="1:21" ht="30.75">
      <c r="A361" s="19" t="s">
        <v>21</v>
      </c>
      <c r="B361" s="19" t="s">
        <v>212</v>
      </c>
      <c r="C361" s="19" t="s">
        <v>33</v>
      </c>
      <c r="D361" s="19" t="s">
        <v>1228</v>
      </c>
      <c r="E361" s="19"/>
      <c r="F361" s="19" t="s">
        <v>1229</v>
      </c>
      <c r="G361" s="19" t="s">
        <v>1230</v>
      </c>
      <c r="H361" s="19"/>
      <c r="I361" s="19" t="s">
        <v>46</v>
      </c>
      <c r="J361" s="20">
        <v>3</v>
      </c>
      <c r="K361" s="20">
        <v>3</v>
      </c>
      <c r="L361" s="33">
        <f>WorkmanshipResultsTable[[#This Row],[Number of Failed Units]]/WorkmanshipResultsTable[[#This Row],[Total Units Built]]</f>
        <v>1</v>
      </c>
      <c r="M361" s="25">
        <v>46067</v>
      </c>
      <c r="N361" s="19" t="s">
        <v>47</v>
      </c>
      <c r="O361" s="19" t="s">
        <v>48</v>
      </c>
      <c r="P361" s="20"/>
      <c r="Q361" s="19"/>
      <c r="R361" s="19"/>
      <c r="S361" s="19"/>
      <c r="T361" s="19"/>
      <c r="U361" s="21"/>
    </row>
    <row r="362" spans="1:21" ht="60.75">
      <c r="A362" s="19" t="s">
        <v>96</v>
      </c>
      <c r="B362" s="19" t="s">
        <v>41</v>
      </c>
      <c r="C362" s="19" t="s">
        <v>23</v>
      </c>
      <c r="D362" s="19" t="s">
        <v>1231</v>
      </c>
      <c r="E362" s="19" t="s">
        <v>1232</v>
      </c>
      <c r="F362" s="19"/>
      <c r="G362" s="30" t="s">
        <v>1233</v>
      </c>
      <c r="H362" s="19" t="s">
        <v>1234</v>
      </c>
      <c r="I362" s="19" t="s">
        <v>28</v>
      </c>
      <c r="J362" s="20">
        <v>214</v>
      </c>
      <c r="K362" s="20">
        <v>214</v>
      </c>
      <c r="L362" s="35">
        <f>WorkmanshipResultsTable[[#This Row],[Number of Failed Units]]/WorkmanshipResultsTable[[#This Row],[Total Units Built]]</f>
        <v>1</v>
      </c>
      <c r="M362" s="25">
        <v>45758</v>
      </c>
      <c r="N362" s="19" t="s">
        <v>47</v>
      </c>
      <c r="O362" s="19" t="s">
        <v>102</v>
      </c>
      <c r="P362" s="20"/>
      <c r="Q362" s="19"/>
      <c r="R362" s="19"/>
      <c r="S362" s="19"/>
      <c r="T362" s="19"/>
      <c r="U362" s="21"/>
    </row>
    <row r="363" spans="1:21" ht="30.75">
      <c r="A363" s="19" t="s">
        <v>21</v>
      </c>
      <c r="B363" s="19" t="s">
        <v>41</v>
      </c>
      <c r="C363" s="19" t="s">
        <v>33</v>
      </c>
      <c r="D363" s="19" t="s">
        <v>1235</v>
      </c>
      <c r="E363" s="19"/>
      <c r="F363" s="19" t="s">
        <v>1236</v>
      </c>
      <c r="G363" s="19" t="s">
        <v>1237</v>
      </c>
      <c r="H363" s="19" t="s">
        <v>1111</v>
      </c>
      <c r="I363" s="19" t="s">
        <v>46</v>
      </c>
      <c r="J363" s="20">
        <v>4</v>
      </c>
      <c r="K363" s="20">
        <v>4</v>
      </c>
      <c r="L363" s="33">
        <f>WorkmanshipResultsTable[[#This Row],[Number of Failed Units]]/WorkmanshipResultsTable[[#This Row],[Total Units Built]]</f>
        <v>1</v>
      </c>
      <c r="M363" s="25">
        <v>45702</v>
      </c>
      <c r="N363" s="19" t="s">
        <v>47</v>
      </c>
      <c r="O363" s="19" t="s">
        <v>48</v>
      </c>
      <c r="P363" s="20"/>
      <c r="Q363" s="19"/>
      <c r="R363" s="19"/>
      <c r="S363" s="19"/>
      <c r="T363" s="19"/>
      <c r="U363" s="21"/>
    </row>
  </sheetData>
  <pageMargins left="0.7" right="0.7" top="0.75" bottom="0.75" header="0.3" footer="0.3"/>
  <headerFooter>
    <oddFooter>&amp;R_x000D_&amp;1#&amp;"Aptos"&amp;8&amp;K000000 Cisco Confidential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1FDB8-E5BC-4A92-BF59-766D50BEA516}">
  <dimension ref="A1:E30"/>
  <sheetViews>
    <sheetView showGridLines="0" workbookViewId="0">
      <selection activeCell="A20" sqref="A20:A30"/>
    </sheetView>
  </sheetViews>
  <sheetFormatPr defaultRowHeight="14.25"/>
  <cols>
    <col min="1" max="1" width="45.375" customWidth="1"/>
    <col min="2" max="2" width="25.25" style="7" customWidth="1"/>
    <col min="3" max="3" width="19.5" customWidth="1"/>
    <col min="4" max="4" width="15.375" customWidth="1"/>
    <col min="5" max="5" width="18" customWidth="1"/>
  </cols>
  <sheetData>
    <row r="1" spans="1:5" ht="27.95" customHeight="1">
      <c r="A1" s="44" t="s">
        <v>1238</v>
      </c>
      <c r="B1" s="45"/>
      <c r="C1" s="44"/>
      <c r="D1" s="44"/>
      <c r="E1" s="44"/>
    </row>
    <row r="2" spans="1:5">
      <c r="A2" s="5"/>
      <c r="B2" s="6"/>
      <c r="C2" s="5"/>
      <c r="D2" s="5"/>
      <c r="E2" s="5"/>
    </row>
    <row r="3" spans="1:5" ht="30" customHeight="1">
      <c r="A3" s="2" t="s">
        <v>1239</v>
      </c>
      <c r="B3" s="2" t="s">
        <v>1240</v>
      </c>
      <c r="C3" s="5"/>
      <c r="D3" s="5"/>
      <c r="E3" s="5"/>
    </row>
    <row r="4" spans="1:5">
      <c r="A4" s="1" t="s">
        <v>1241</v>
      </c>
      <c r="B4" s="8" t="s">
        <v>1242</v>
      </c>
      <c r="C4" s="5"/>
      <c r="D4" s="5"/>
      <c r="E4" s="5"/>
    </row>
    <row r="5" spans="1:5">
      <c r="A5" s="1" t="s">
        <v>1243</v>
      </c>
      <c r="B5" s="8" t="s">
        <v>1244</v>
      </c>
      <c r="C5" s="5"/>
      <c r="D5" s="5"/>
      <c r="E5" s="5"/>
    </row>
    <row r="6" spans="1:5" ht="14.25" customHeight="1">
      <c r="A6" s="1" t="s">
        <v>1245</v>
      </c>
      <c r="B6" s="8" t="s">
        <v>1246</v>
      </c>
      <c r="C6" s="5"/>
      <c r="D6" s="5"/>
      <c r="E6" s="5"/>
    </row>
    <row r="7" spans="1:5">
      <c r="A7" s="1" t="s">
        <v>1247</v>
      </c>
      <c r="B7" s="8" t="s">
        <v>1248</v>
      </c>
      <c r="C7" s="5"/>
      <c r="D7" s="5"/>
      <c r="E7" s="5"/>
    </row>
    <row r="8" spans="1:5">
      <c r="A8" s="1" t="s">
        <v>1249</v>
      </c>
      <c r="B8" s="8">
        <v>3845</v>
      </c>
      <c r="C8" s="5"/>
      <c r="D8" s="5"/>
      <c r="E8" s="5"/>
    </row>
    <row r="9" spans="1:5">
      <c r="A9" s="1" t="s">
        <v>1250</v>
      </c>
      <c r="B9" s="8">
        <v>3781</v>
      </c>
      <c r="C9" s="5"/>
      <c r="D9" s="5"/>
      <c r="E9" s="5"/>
    </row>
    <row r="10" spans="1:5">
      <c r="A10" s="1" t="s">
        <v>1251</v>
      </c>
      <c r="B10" s="8">
        <v>24</v>
      </c>
      <c r="C10" s="5"/>
      <c r="D10" s="5"/>
      <c r="E10" s="5"/>
    </row>
    <row r="11" spans="1:5">
      <c r="A11" s="1" t="s">
        <v>1252</v>
      </c>
      <c r="B11" s="8">
        <v>3117</v>
      </c>
      <c r="C11" s="5"/>
      <c r="D11" s="5"/>
      <c r="E11" s="5"/>
    </row>
    <row r="12" spans="1:5">
      <c r="A12" s="1" t="s">
        <v>1253</v>
      </c>
      <c r="B12" s="8">
        <v>183</v>
      </c>
      <c r="C12" s="5"/>
      <c r="D12" s="5"/>
      <c r="E12" s="5"/>
    </row>
    <row r="13" spans="1:5">
      <c r="A13" s="1" t="s">
        <v>1254</v>
      </c>
      <c r="B13" s="8">
        <v>191</v>
      </c>
      <c r="C13" s="5"/>
      <c r="D13" s="5"/>
      <c r="E13" s="5"/>
    </row>
    <row r="14" spans="1:5">
      <c r="A14" s="1" t="s">
        <v>1255</v>
      </c>
      <c r="B14" s="8">
        <v>457</v>
      </c>
      <c r="C14" s="5"/>
      <c r="D14" s="5"/>
      <c r="E14" s="5"/>
    </row>
    <row r="15" spans="1:5">
      <c r="A15" s="1" t="s">
        <v>1256</v>
      </c>
      <c r="B15" s="8">
        <v>25</v>
      </c>
      <c r="C15" s="5"/>
      <c r="D15" s="5"/>
      <c r="E15" s="5"/>
    </row>
    <row r="16" spans="1:5">
      <c r="A16" s="5"/>
      <c r="B16" s="9"/>
      <c r="C16" s="5"/>
      <c r="D16" s="5"/>
      <c r="E16" s="5"/>
    </row>
    <row r="17" spans="1:5">
      <c r="A17" s="5"/>
      <c r="B17" s="6"/>
      <c r="C17" s="5"/>
      <c r="D17" s="5"/>
      <c r="E17" s="5"/>
    </row>
    <row r="18" spans="1:5" ht="18">
      <c r="A18" s="44" t="s">
        <v>1257</v>
      </c>
      <c r="B18" s="45"/>
      <c r="C18" s="44"/>
      <c r="D18" s="44"/>
      <c r="E18" s="44"/>
    </row>
    <row r="19" spans="1:5" ht="30" customHeight="1">
      <c r="A19" s="2" t="s">
        <v>1258</v>
      </c>
      <c r="B19" s="2" t="s">
        <v>1259</v>
      </c>
      <c r="C19" s="2" t="s">
        <v>1260</v>
      </c>
      <c r="D19" s="2" t="s">
        <v>1261</v>
      </c>
      <c r="E19" s="2" t="s">
        <v>1262</v>
      </c>
    </row>
    <row r="20" spans="1:5" ht="16.5">
      <c r="A20" s="4" t="s">
        <v>90</v>
      </c>
      <c r="B20" s="4" t="s">
        <v>1263</v>
      </c>
      <c r="C20" s="4" t="s">
        <v>1264</v>
      </c>
      <c r="D20" s="4" t="s">
        <v>1264</v>
      </c>
      <c r="E20" s="4" t="s">
        <v>1265</v>
      </c>
    </row>
    <row r="21" spans="1:5" ht="16.5">
      <c r="A21" s="4" t="s">
        <v>131</v>
      </c>
      <c r="B21" s="4" t="s">
        <v>1263</v>
      </c>
      <c r="C21" s="4" t="s">
        <v>1264</v>
      </c>
      <c r="D21" s="4" t="s">
        <v>1264</v>
      </c>
      <c r="E21" s="4" t="s">
        <v>1265</v>
      </c>
    </row>
    <row r="22" spans="1:5" ht="16.5">
      <c r="A22" s="4" t="s">
        <v>102</v>
      </c>
      <c r="B22" s="4" t="s">
        <v>1263</v>
      </c>
      <c r="C22" s="4" t="s">
        <v>1264</v>
      </c>
      <c r="D22" s="4" t="s">
        <v>1264</v>
      </c>
      <c r="E22" s="4" t="s">
        <v>1265</v>
      </c>
    </row>
    <row r="23" spans="1:5" ht="16.5">
      <c r="A23" s="4" t="s">
        <v>177</v>
      </c>
      <c r="B23" s="4" t="s">
        <v>1266</v>
      </c>
      <c r="C23" s="4" t="s">
        <v>1264</v>
      </c>
      <c r="D23" s="4" t="s">
        <v>1264</v>
      </c>
      <c r="E23" s="4" t="s">
        <v>1265</v>
      </c>
    </row>
    <row r="24" spans="1:5" ht="16.5">
      <c r="A24" s="4" t="s">
        <v>1267</v>
      </c>
      <c r="B24" s="4" t="s">
        <v>1263</v>
      </c>
      <c r="C24" s="4" t="s">
        <v>1264</v>
      </c>
      <c r="D24" s="4" t="s">
        <v>1264</v>
      </c>
      <c r="E24" s="4" t="s">
        <v>1265</v>
      </c>
    </row>
    <row r="25" spans="1:5" ht="16.5">
      <c r="A25" s="4" t="s">
        <v>1268</v>
      </c>
      <c r="B25" s="4" t="s">
        <v>1263</v>
      </c>
      <c r="C25" s="4" t="s">
        <v>1264</v>
      </c>
      <c r="D25" s="4" t="s">
        <v>1264</v>
      </c>
      <c r="E25" s="4" t="s">
        <v>1265</v>
      </c>
    </row>
    <row r="26" spans="1:5" ht="16.5">
      <c r="A26" s="4" t="s">
        <v>1269</v>
      </c>
      <c r="B26" s="4" t="s">
        <v>1263</v>
      </c>
      <c r="C26" s="4" t="s">
        <v>1264</v>
      </c>
      <c r="D26" s="4" t="s">
        <v>1264</v>
      </c>
      <c r="E26" s="4" t="s">
        <v>1265</v>
      </c>
    </row>
    <row r="27" spans="1:5" ht="16.5">
      <c r="A27" s="4" t="s">
        <v>1270</v>
      </c>
      <c r="B27" s="4" t="s">
        <v>1263</v>
      </c>
      <c r="C27" s="4" t="s">
        <v>1264</v>
      </c>
      <c r="D27" s="4" t="s">
        <v>1264</v>
      </c>
      <c r="E27" s="4" t="s">
        <v>1265</v>
      </c>
    </row>
    <row r="28" spans="1:5" ht="16.5">
      <c r="A28" s="4" t="s">
        <v>30</v>
      </c>
      <c r="B28" s="4" t="s">
        <v>1263</v>
      </c>
      <c r="C28" s="4" t="s">
        <v>1264</v>
      </c>
      <c r="D28" s="4" t="s">
        <v>1264</v>
      </c>
      <c r="E28" s="4" t="s">
        <v>1265</v>
      </c>
    </row>
    <row r="29" spans="1:5" ht="16.5">
      <c r="A29" s="14" t="s">
        <v>162</v>
      </c>
      <c r="B29" s="14" t="s">
        <v>1271</v>
      </c>
      <c r="C29" s="14" t="s">
        <v>1271</v>
      </c>
      <c r="D29" s="14" t="s">
        <v>1264</v>
      </c>
      <c r="E29" s="4" t="s">
        <v>1265</v>
      </c>
    </row>
    <row r="30" spans="1:5" ht="16.5">
      <c r="A30" s="14" t="s">
        <v>1272</v>
      </c>
      <c r="B30" s="14" t="s">
        <v>1271</v>
      </c>
      <c r="C30" s="14" t="s">
        <v>1271</v>
      </c>
      <c r="D30" s="14" t="s">
        <v>1264</v>
      </c>
      <c r="E30" s="4" t="s">
        <v>1265</v>
      </c>
    </row>
  </sheetData>
  <mergeCells count="2">
    <mergeCell ref="A1:E1"/>
    <mergeCell ref="A18:E18"/>
  </mergeCells>
  <pageMargins left="0.7" right="0.7" top="0.75" bottom="0.75" header="0.3" footer="0.3"/>
  <headerFooter>
    <oddFooter>&amp;R_x000D_&amp;1#&amp;"Aptos"&amp;8&amp;K000000 Cisco Confidential</oddFooter>
  </headerFooter>
  <tableParts count="2">
    <tablePart r:id="rId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4"/>
  <sheetViews>
    <sheetView showGridLines="0" workbookViewId="0">
      <pane xSplit="2" topLeftCell="C1" activePane="topRight" state="frozen"/>
      <selection pane="topRight" activeCell="E45" sqref="E45"/>
    </sheetView>
  </sheetViews>
  <sheetFormatPr defaultRowHeight="14.25" customHeight="1"/>
  <cols>
    <col min="1" max="2" width="15" customWidth="1"/>
    <col min="3" max="3" width="20" customWidth="1"/>
    <col min="4" max="4" width="30" customWidth="1"/>
    <col min="5" max="5" width="20" customWidth="1"/>
    <col min="6" max="6" width="30" customWidth="1"/>
    <col min="7" max="7" width="17.875" customWidth="1"/>
    <col min="8" max="8" width="70.875" customWidth="1"/>
    <col min="9" max="9" width="52" customWidth="1"/>
    <col min="10" max="10" width="62" customWidth="1"/>
  </cols>
  <sheetData>
    <row r="1" spans="1:10" ht="30" customHeight="1">
      <c r="A1" s="3" t="s">
        <v>16</v>
      </c>
      <c r="B1" s="3" t="s">
        <v>1273</v>
      </c>
      <c r="C1" s="3" t="s">
        <v>15</v>
      </c>
      <c r="D1" s="3" t="s">
        <v>1274</v>
      </c>
      <c r="E1" s="3" t="s">
        <v>1275</v>
      </c>
      <c r="F1" s="3" t="s">
        <v>1276</v>
      </c>
      <c r="G1" s="3" t="s">
        <v>1277</v>
      </c>
      <c r="H1" s="3" t="s">
        <v>17</v>
      </c>
      <c r="I1" s="3" t="s">
        <v>14</v>
      </c>
      <c r="J1" s="3" t="s">
        <v>1278</v>
      </c>
    </row>
    <row r="2" spans="1:10" ht="57">
      <c r="A2" s="4" t="s">
        <v>1279</v>
      </c>
      <c r="B2" s="4" t="s">
        <v>1264</v>
      </c>
      <c r="C2" s="4" t="s">
        <v>810</v>
      </c>
      <c r="D2" s="4" t="s">
        <v>1280</v>
      </c>
      <c r="E2" s="4" t="s">
        <v>96</v>
      </c>
      <c r="F2" s="4" t="s">
        <v>1281</v>
      </c>
      <c r="G2" s="4" t="s">
        <v>1282</v>
      </c>
      <c r="H2" s="4" t="s">
        <v>1283</v>
      </c>
      <c r="I2" s="4" t="s">
        <v>1284</v>
      </c>
      <c r="J2" s="4" t="s">
        <v>1285</v>
      </c>
    </row>
    <row r="3" spans="1:10" ht="48" customHeight="1">
      <c r="A3" s="4" t="s">
        <v>1286</v>
      </c>
      <c r="B3" s="4" t="s">
        <v>1287</v>
      </c>
      <c r="C3" s="4" t="s">
        <v>1288</v>
      </c>
      <c r="D3" s="4" t="s">
        <v>1280</v>
      </c>
      <c r="E3" s="4" t="s">
        <v>21</v>
      </c>
      <c r="F3" s="4" t="s">
        <v>751</v>
      </c>
      <c r="G3" s="4" t="s">
        <v>1289</v>
      </c>
      <c r="H3" s="4" t="s">
        <v>1290</v>
      </c>
      <c r="I3" s="4" t="s">
        <v>1291</v>
      </c>
      <c r="J3" s="4" t="s">
        <v>1285</v>
      </c>
    </row>
    <row r="4" spans="1:10" ht="48" customHeight="1">
      <c r="A4" s="4" t="s">
        <v>1292</v>
      </c>
      <c r="B4" s="4" t="s">
        <v>1287</v>
      </c>
      <c r="C4" s="4" t="s">
        <v>1293</v>
      </c>
      <c r="D4" s="4" t="s">
        <v>1280</v>
      </c>
      <c r="E4" s="4" t="s">
        <v>96</v>
      </c>
      <c r="F4" s="4" t="s">
        <v>531</v>
      </c>
      <c r="G4" s="4" t="s">
        <v>1289</v>
      </c>
      <c r="H4" s="4" t="s">
        <v>1294</v>
      </c>
      <c r="I4" s="4" t="s">
        <v>1295</v>
      </c>
      <c r="J4" s="4" t="s">
        <v>1285</v>
      </c>
    </row>
    <row r="5" spans="1:10" ht="48" customHeight="1">
      <c r="A5" s="4" t="s">
        <v>1296</v>
      </c>
      <c r="B5" s="4" t="s">
        <v>1287</v>
      </c>
      <c r="C5" s="4" t="s">
        <v>1297</v>
      </c>
      <c r="D5" s="4" t="s">
        <v>1280</v>
      </c>
      <c r="E5" s="4" t="s">
        <v>96</v>
      </c>
      <c r="F5" s="4" t="s">
        <v>92</v>
      </c>
      <c r="G5" s="4" t="s">
        <v>1282</v>
      </c>
      <c r="H5" s="4" t="s">
        <v>1298</v>
      </c>
      <c r="I5" s="4" t="s">
        <v>1299</v>
      </c>
      <c r="J5" s="4" t="s">
        <v>1285</v>
      </c>
    </row>
    <row r="6" spans="1:10" ht="48" customHeight="1">
      <c r="A6" s="4" t="s">
        <v>1300</v>
      </c>
      <c r="B6" s="4" t="s">
        <v>1287</v>
      </c>
      <c r="C6" s="4" t="s">
        <v>1301</v>
      </c>
      <c r="D6" s="4" t="s">
        <v>1280</v>
      </c>
      <c r="E6" s="4" t="s">
        <v>96</v>
      </c>
      <c r="F6" s="4" t="s">
        <v>92</v>
      </c>
      <c r="G6" s="4" t="s">
        <v>1282</v>
      </c>
      <c r="H6" s="4" t="s">
        <v>1302</v>
      </c>
      <c r="I6" s="4" t="s">
        <v>1303</v>
      </c>
      <c r="J6" s="4" t="s">
        <v>1285</v>
      </c>
    </row>
    <row r="7" spans="1:10" ht="48" customHeight="1">
      <c r="A7" s="4" t="s">
        <v>1304</v>
      </c>
      <c r="B7" s="4" t="s">
        <v>1287</v>
      </c>
      <c r="C7" s="4" t="s">
        <v>1305</v>
      </c>
      <c r="D7" s="4" t="s">
        <v>1280</v>
      </c>
      <c r="E7" s="4" t="s">
        <v>96</v>
      </c>
      <c r="F7" s="4" t="s">
        <v>1306</v>
      </c>
      <c r="G7" s="4" t="s">
        <v>1282</v>
      </c>
      <c r="H7" s="4" t="s">
        <v>1307</v>
      </c>
      <c r="I7" s="4" t="s">
        <v>1308</v>
      </c>
      <c r="J7" s="4" t="s">
        <v>1285</v>
      </c>
    </row>
    <row r="8" spans="1:10" ht="48" customHeight="1">
      <c r="A8" s="4" t="s">
        <v>1309</v>
      </c>
      <c r="B8" s="4" t="s">
        <v>1264</v>
      </c>
      <c r="C8" s="4" t="s">
        <v>606</v>
      </c>
      <c r="D8" s="4" t="s">
        <v>1280</v>
      </c>
      <c r="E8" s="4" t="s">
        <v>96</v>
      </c>
      <c r="F8" s="4" t="s">
        <v>92</v>
      </c>
      <c r="G8" s="4" t="s">
        <v>1282</v>
      </c>
      <c r="H8" s="4" t="s">
        <v>1310</v>
      </c>
      <c r="I8" s="4" t="s">
        <v>1311</v>
      </c>
      <c r="J8" s="4" t="s">
        <v>1285</v>
      </c>
    </row>
    <row r="9" spans="1:10" ht="48" customHeight="1">
      <c r="A9" s="4" t="s">
        <v>1312</v>
      </c>
      <c r="B9" s="4" t="s">
        <v>1264</v>
      </c>
      <c r="C9" s="4" t="s">
        <v>245</v>
      </c>
      <c r="D9" s="4" t="s">
        <v>1280</v>
      </c>
      <c r="E9" s="4" t="s">
        <v>21</v>
      </c>
      <c r="F9" s="4" t="s">
        <v>32</v>
      </c>
      <c r="G9" s="4" t="s">
        <v>1289</v>
      </c>
      <c r="H9" s="4" t="s">
        <v>1313</v>
      </c>
      <c r="I9" s="4" t="s">
        <v>1314</v>
      </c>
      <c r="J9" s="4" t="s">
        <v>1285</v>
      </c>
    </row>
    <row r="10" spans="1:10" ht="48" customHeight="1">
      <c r="A10" s="4" t="s">
        <v>1315</v>
      </c>
      <c r="B10" s="4" t="s">
        <v>1264</v>
      </c>
      <c r="C10" s="4" t="s">
        <v>1316</v>
      </c>
      <c r="D10" s="4" t="s">
        <v>1280</v>
      </c>
      <c r="E10" s="4" t="s">
        <v>21</v>
      </c>
      <c r="F10" s="4" t="s">
        <v>531</v>
      </c>
      <c r="G10" s="4" t="s">
        <v>1317</v>
      </c>
      <c r="H10" s="4" t="s">
        <v>1318</v>
      </c>
      <c r="I10" s="4" t="s">
        <v>1319</v>
      </c>
      <c r="J10" s="4" t="s">
        <v>1320</v>
      </c>
    </row>
    <row r="11" spans="1:10" ht="48" customHeight="1">
      <c r="A11" s="4" t="s">
        <v>1321</v>
      </c>
      <c r="B11" s="4" t="s">
        <v>1264</v>
      </c>
      <c r="C11" s="4" t="s">
        <v>345</v>
      </c>
      <c r="D11" s="4" t="s">
        <v>1280</v>
      </c>
      <c r="E11" s="4" t="s">
        <v>21</v>
      </c>
      <c r="F11" s="4"/>
      <c r="G11" s="4" t="s">
        <v>1317</v>
      </c>
      <c r="H11" s="4" t="s">
        <v>1322</v>
      </c>
      <c r="I11" s="4" t="s">
        <v>1323</v>
      </c>
      <c r="J11" s="4" t="s">
        <v>1324</v>
      </c>
    </row>
    <row r="12" spans="1:10" ht="48" customHeight="1">
      <c r="A12" s="4" t="s">
        <v>1325</v>
      </c>
      <c r="B12" s="4" t="s">
        <v>1287</v>
      </c>
      <c r="C12" s="4" t="s">
        <v>1326</v>
      </c>
      <c r="D12" s="4" t="s">
        <v>1280</v>
      </c>
      <c r="E12" s="4" t="s">
        <v>191</v>
      </c>
      <c r="F12" s="4" t="s">
        <v>1327</v>
      </c>
      <c r="G12" s="4" t="s">
        <v>1282</v>
      </c>
      <c r="H12" s="4" t="s">
        <v>1328</v>
      </c>
      <c r="I12" s="4" t="s">
        <v>1329</v>
      </c>
      <c r="J12" s="4" t="s">
        <v>1285</v>
      </c>
    </row>
    <row r="13" spans="1:10" ht="48" customHeight="1">
      <c r="A13" s="4" t="s">
        <v>1330</v>
      </c>
      <c r="B13" s="4" t="s">
        <v>1287</v>
      </c>
      <c r="C13" s="4" t="s">
        <v>1331</v>
      </c>
      <c r="D13" s="4" t="s">
        <v>1280</v>
      </c>
      <c r="E13" s="4" t="s">
        <v>96</v>
      </c>
      <c r="F13" s="4" t="s">
        <v>1332</v>
      </c>
      <c r="G13" s="4" t="s">
        <v>1317</v>
      </c>
      <c r="H13" s="4" t="s">
        <v>1333</v>
      </c>
      <c r="I13" s="4" t="s">
        <v>1334</v>
      </c>
      <c r="J13" s="4" t="s">
        <v>1285</v>
      </c>
    </row>
    <row r="14" spans="1:10" ht="48" customHeight="1">
      <c r="A14" s="4" t="s">
        <v>1335</v>
      </c>
      <c r="B14" s="4" t="s">
        <v>1287</v>
      </c>
      <c r="C14" s="4" t="s">
        <v>1336</v>
      </c>
      <c r="D14" s="4" t="s">
        <v>1280</v>
      </c>
      <c r="E14" s="4" t="s">
        <v>96</v>
      </c>
      <c r="F14" s="4" t="s">
        <v>228</v>
      </c>
      <c r="G14" s="4" t="s">
        <v>1289</v>
      </c>
      <c r="H14" s="4" t="s">
        <v>1337</v>
      </c>
      <c r="I14" s="4" t="s">
        <v>1338</v>
      </c>
      <c r="J14" s="4" t="s">
        <v>1285</v>
      </c>
    </row>
    <row r="15" spans="1:10" ht="48" customHeight="1">
      <c r="A15" s="4" t="s">
        <v>1339</v>
      </c>
      <c r="B15" s="4" t="s">
        <v>1264</v>
      </c>
      <c r="C15" s="4" t="s">
        <v>974</v>
      </c>
      <c r="D15" s="4" t="s">
        <v>1280</v>
      </c>
      <c r="E15" s="4" t="s">
        <v>96</v>
      </c>
      <c r="F15" s="4" t="s">
        <v>228</v>
      </c>
      <c r="G15" s="4" t="s">
        <v>1282</v>
      </c>
      <c r="H15" s="4" t="s">
        <v>1340</v>
      </c>
      <c r="I15" s="4" t="s">
        <v>1341</v>
      </c>
      <c r="J15" s="4" t="s">
        <v>1285</v>
      </c>
    </row>
    <row r="16" spans="1:10" ht="48" customHeight="1">
      <c r="A16" s="4" t="s">
        <v>1342</v>
      </c>
      <c r="B16" s="4" t="s">
        <v>1264</v>
      </c>
      <c r="C16" s="4" t="s">
        <v>91</v>
      </c>
      <c r="D16" s="4" t="s">
        <v>1280</v>
      </c>
      <c r="E16" s="4" t="s">
        <v>96</v>
      </c>
      <c r="F16" s="4" t="s">
        <v>1343</v>
      </c>
      <c r="G16" s="4" t="s">
        <v>1289</v>
      </c>
      <c r="H16" s="4" t="s">
        <v>1344</v>
      </c>
      <c r="I16" s="4" t="s">
        <v>1345</v>
      </c>
      <c r="J16" s="4" t="s">
        <v>1285</v>
      </c>
    </row>
    <row r="17" spans="1:10" ht="48" customHeight="1">
      <c r="A17" s="4" t="s">
        <v>1346</v>
      </c>
      <c r="B17" s="4" t="s">
        <v>1287</v>
      </c>
      <c r="C17" s="4" t="s">
        <v>1347</v>
      </c>
      <c r="D17" s="4" t="s">
        <v>1280</v>
      </c>
      <c r="E17" s="4" t="s">
        <v>191</v>
      </c>
      <c r="F17" s="4" t="s">
        <v>1348</v>
      </c>
      <c r="G17" s="4" t="s">
        <v>1289</v>
      </c>
      <c r="H17" s="4" t="s">
        <v>1349</v>
      </c>
      <c r="I17" s="4" t="s">
        <v>1350</v>
      </c>
      <c r="J17" s="4" t="s">
        <v>1285</v>
      </c>
    </row>
    <row r="18" spans="1:10" ht="48" customHeight="1">
      <c r="A18" s="4" t="s">
        <v>1351</v>
      </c>
      <c r="B18" s="4" t="s">
        <v>1264</v>
      </c>
      <c r="C18" s="4" t="s">
        <v>587</v>
      </c>
      <c r="D18" s="4" t="s">
        <v>1280</v>
      </c>
      <c r="E18" s="4" t="s">
        <v>96</v>
      </c>
      <c r="F18" s="4" t="s">
        <v>228</v>
      </c>
      <c r="G18" s="4" t="s">
        <v>1282</v>
      </c>
      <c r="H18" s="4" t="s">
        <v>1352</v>
      </c>
      <c r="I18" s="4" t="s">
        <v>1353</v>
      </c>
      <c r="J18" s="4" t="s">
        <v>1285</v>
      </c>
    </row>
    <row r="19" spans="1:10" ht="48" customHeight="1">
      <c r="A19" s="4" t="s">
        <v>1354</v>
      </c>
      <c r="B19" s="4" t="s">
        <v>1264</v>
      </c>
      <c r="C19" s="4" t="s">
        <v>1355</v>
      </c>
      <c r="D19" s="4" t="s">
        <v>1280</v>
      </c>
      <c r="E19" s="4" t="s">
        <v>96</v>
      </c>
      <c r="F19" s="4" t="s">
        <v>228</v>
      </c>
      <c r="G19" s="4" t="s">
        <v>1282</v>
      </c>
      <c r="H19" s="4" t="s">
        <v>1356</v>
      </c>
      <c r="I19" s="4" t="s">
        <v>1357</v>
      </c>
      <c r="J19" s="4" t="s">
        <v>1285</v>
      </c>
    </row>
    <row r="20" spans="1:10" ht="48" customHeight="1">
      <c r="A20" s="4" t="s">
        <v>1358</v>
      </c>
      <c r="B20" s="4" t="s">
        <v>1287</v>
      </c>
      <c r="C20" s="4" t="s">
        <v>1359</v>
      </c>
      <c r="D20" s="4" t="s">
        <v>1280</v>
      </c>
      <c r="E20" s="4" t="s">
        <v>96</v>
      </c>
      <c r="F20" s="4" t="s">
        <v>1332</v>
      </c>
      <c r="G20" s="4" t="s">
        <v>1282</v>
      </c>
      <c r="H20" s="4" t="s">
        <v>1360</v>
      </c>
      <c r="I20" s="4" t="s">
        <v>1361</v>
      </c>
      <c r="J20" s="4" t="s">
        <v>1285</v>
      </c>
    </row>
    <row r="21" spans="1:10" ht="48" customHeight="1">
      <c r="A21" s="4" t="s">
        <v>1362</v>
      </c>
      <c r="B21" s="4" t="s">
        <v>1264</v>
      </c>
      <c r="C21" s="4" t="s">
        <v>367</v>
      </c>
      <c r="D21" s="4" t="s">
        <v>1280</v>
      </c>
      <c r="E21" s="4" t="s">
        <v>96</v>
      </c>
      <c r="F21" s="4" t="s">
        <v>1363</v>
      </c>
      <c r="G21" s="4" t="s">
        <v>1282</v>
      </c>
      <c r="H21" s="4" t="s">
        <v>1364</v>
      </c>
      <c r="I21" s="4" t="s">
        <v>1365</v>
      </c>
      <c r="J21" s="4" t="s">
        <v>1285</v>
      </c>
    </row>
    <row r="22" spans="1:10" ht="48" customHeight="1">
      <c r="A22" s="4" t="s">
        <v>1366</v>
      </c>
      <c r="B22" s="4" t="s">
        <v>1287</v>
      </c>
      <c r="C22" s="4" t="s">
        <v>1367</v>
      </c>
      <c r="D22" s="4" t="s">
        <v>1280</v>
      </c>
      <c r="E22" s="4" t="s">
        <v>96</v>
      </c>
      <c r="F22" s="4" t="s">
        <v>92</v>
      </c>
      <c r="G22" s="4" t="s">
        <v>1282</v>
      </c>
      <c r="H22" s="4" t="s">
        <v>1368</v>
      </c>
      <c r="I22" s="4" t="s">
        <v>1369</v>
      </c>
      <c r="J22" s="4" t="s">
        <v>1285</v>
      </c>
    </row>
    <row r="23" spans="1:10" ht="48" customHeight="1">
      <c r="A23" s="4" t="s">
        <v>1370</v>
      </c>
      <c r="B23" s="4" t="s">
        <v>1264</v>
      </c>
      <c r="C23" s="4" t="s">
        <v>1048</v>
      </c>
      <c r="D23" s="4" t="s">
        <v>1280</v>
      </c>
      <c r="E23" s="4" t="s">
        <v>21</v>
      </c>
      <c r="F23" s="4"/>
      <c r="G23" s="4" t="s">
        <v>1282</v>
      </c>
      <c r="H23" s="4" t="s">
        <v>1371</v>
      </c>
      <c r="I23" s="4" t="s">
        <v>1372</v>
      </c>
      <c r="J23" s="4" t="s">
        <v>1324</v>
      </c>
    </row>
    <row r="24" spans="1:10" ht="48" customHeight="1">
      <c r="A24" s="4" t="s">
        <v>1373</v>
      </c>
      <c r="B24" s="4" t="s">
        <v>1287</v>
      </c>
      <c r="C24" s="4" t="s">
        <v>1374</v>
      </c>
      <c r="D24" s="4" t="s">
        <v>1280</v>
      </c>
      <c r="E24" s="4" t="s">
        <v>191</v>
      </c>
      <c r="F24" s="4" t="s">
        <v>1375</v>
      </c>
      <c r="G24" s="4" t="s">
        <v>1282</v>
      </c>
      <c r="H24" s="4" t="s">
        <v>1376</v>
      </c>
      <c r="I24" s="4" t="s">
        <v>1377</v>
      </c>
      <c r="J24" s="4" t="s">
        <v>1285</v>
      </c>
    </row>
    <row r="25" spans="1:10" ht="48" customHeight="1">
      <c r="A25" s="4" t="s">
        <v>1378</v>
      </c>
      <c r="B25" s="4" t="s">
        <v>1264</v>
      </c>
      <c r="C25" s="4" t="s">
        <v>1379</v>
      </c>
      <c r="D25" s="4" t="s">
        <v>1280</v>
      </c>
      <c r="E25" s="4" t="s">
        <v>96</v>
      </c>
      <c r="F25" s="4" t="s">
        <v>92</v>
      </c>
      <c r="G25" s="4" t="s">
        <v>1282</v>
      </c>
      <c r="H25" s="4" t="s">
        <v>1380</v>
      </c>
      <c r="I25" s="4" t="s">
        <v>1381</v>
      </c>
      <c r="J25" s="4" t="s">
        <v>1285</v>
      </c>
    </row>
    <row r="26" spans="1:10" ht="48" customHeight="1">
      <c r="A26" s="4" t="s">
        <v>1382</v>
      </c>
      <c r="B26" s="4" t="s">
        <v>1264</v>
      </c>
      <c r="C26" s="4" t="s">
        <v>78</v>
      </c>
      <c r="D26" s="4" t="s">
        <v>1280</v>
      </c>
      <c r="E26" s="4" t="s">
        <v>21</v>
      </c>
      <c r="F26" s="4" t="s">
        <v>1383</v>
      </c>
      <c r="G26" s="4" t="s">
        <v>1282</v>
      </c>
      <c r="H26" s="4" t="s">
        <v>1384</v>
      </c>
      <c r="I26" s="4" t="s">
        <v>1385</v>
      </c>
      <c r="J26" s="4" t="s">
        <v>1285</v>
      </c>
    </row>
    <row r="27" spans="1:10" ht="48" customHeight="1">
      <c r="A27" s="4" t="s">
        <v>1386</v>
      </c>
      <c r="B27" s="4" t="s">
        <v>1264</v>
      </c>
      <c r="C27" s="4" t="s">
        <v>156</v>
      </c>
      <c r="D27" s="4" t="s">
        <v>1280</v>
      </c>
      <c r="E27" s="4" t="s">
        <v>21</v>
      </c>
      <c r="F27" s="4"/>
      <c r="G27" s="4" t="s">
        <v>1289</v>
      </c>
      <c r="H27" s="4" t="s">
        <v>1387</v>
      </c>
      <c r="I27" s="4" t="s">
        <v>1388</v>
      </c>
      <c r="J27" s="4" t="s">
        <v>1324</v>
      </c>
    </row>
    <row r="28" spans="1:10" ht="48" customHeight="1">
      <c r="A28" s="4" t="s">
        <v>1389</v>
      </c>
      <c r="B28" s="4" t="s">
        <v>1264</v>
      </c>
      <c r="C28" s="4" t="s">
        <v>124</v>
      </c>
      <c r="D28" s="4" t="s">
        <v>1280</v>
      </c>
      <c r="E28" s="4" t="s">
        <v>96</v>
      </c>
      <c r="F28" s="4" t="s">
        <v>56</v>
      </c>
      <c r="G28" s="4" t="s">
        <v>1289</v>
      </c>
      <c r="H28" s="4" t="s">
        <v>1390</v>
      </c>
      <c r="I28" s="4" t="s">
        <v>1391</v>
      </c>
      <c r="J28" s="4" t="s">
        <v>1285</v>
      </c>
    </row>
    <row r="29" spans="1:10" ht="48" customHeight="1">
      <c r="A29" s="4" t="s">
        <v>1392</v>
      </c>
      <c r="B29" s="4" t="s">
        <v>1287</v>
      </c>
      <c r="C29" s="4" t="s">
        <v>1393</v>
      </c>
      <c r="D29" s="4" t="s">
        <v>1280</v>
      </c>
      <c r="E29" s="4" t="s">
        <v>96</v>
      </c>
      <c r="F29" s="4" t="s">
        <v>228</v>
      </c>
      <c r="G29" s="4" t="s">
        <v>1282</v>
      </c>
      <c r="H29" s="4" t="s">
        <v>1394</v>
      </c>
      <c r="I29" s="4" t="s">
        <v>1395</v>
      </c>
      <c r="J29" s="4" t="s">
        <v>1285</v>
      </c>
    </row>
    <row r="30" spans="1:10" ht="48" customHeight="1">
      <c r="A30" s="4" t="s">
        <v>1396</v>
      </c>
      <c r="B30" s="4" t="s">
        <v>1287</v>
      </c>
      <c r="C30" s="4" t="s">
        <v>1397</v>
      </c>
      <c r="D30" s="4" t="s">
        <v>1280</v>
      </c>
      <c r="E30" s="4" t="s">
        <v>191</v>
      </c>
      <c r="F30" s="4" t="s">
        <v>1327</v>
      </c>
      <c r="G30" s="4" t="s">
        <v>1282</v>
      </c>
      <c r="H30" s="4" t="s">
        <v>1398</v>
      </c>
      <c r="I30" s="4" t="s">
        <v>1399</v>
      </c>
      <c r="J30" s="4" t="s">
        <v>1285</v>
      </c>
    </row>
    <row r="31" spans="1:10" ht="48" customHeight="1">
      <c r="A31" s="4" t="s">
        <v>1400</v>
      </c>
      <c r="B31" s="4" t="s">
        <v>1264</v>
      </c>
      <c r="C31" s="4" t="s">
        <v>40</v>
      </c>
      <c r="D31" s="4" t="s">
        <v>1280</v>
      </c>
      <c r="E31" s="4" t="s">
        <v>96</v>
      </c>
      <c r="F31" s="4" t="s">
        <v>228</v>
      </c>
      <c r="G31" s="4" t="s">
        <v>1282</v>
      </c>
      <c r="H31" s="4" t="s">
        <v>1401</v>
      </c>
      <c r="I31" s="4" t="s">
        <v>1402</v>
      </c>
      <c r="J31" s="4" t="s">
        <v>1285</v>
      </c>
    </row>
    <row r="32" spans="1:10" ht="48" customHeight="1">
      <c r="A32" s="4" t="s">
        <v>1403</v>
      </c>
      <c r="B32" s="4" t="s">
        <v>1287</v>
      </c>
      <c r="C32" s="4" t="s">
        <v>1404</v>
      </c>
      <c r="D32" s="4" t="s">
        <v>1280</v>
      </c>
      <c r="E32" s="4" t="s">
        <v>96</v>
      </c>
      <c r="F32" s="4" t="s">
        <v>531</v>
      </c>
      <c r="G32" s="4" t="s">
        <v>1282</v>
      </c>
      <c r="H32" s="4" t="s">
        <v>1405</v>
      </c>
      <c r="I32" s="4" t="s">
        <v>1406</v>
      </c>
      <c r="J32" s="4" t="s">
        <v>1285</v>
      </c>
    </row>
    <row r="33" spans="1:10" ht="48" customHeight="1">
      <c r="A33" s="4" t="s">
        <v>1407</v>
      </c>
      <c r="B33" s="4" t="s">
        <v>1264</v>
      </c>
      <c r="C33" s="4" t="s">
        <v>858</v>
      </c>
      <c r="D33" s="4" t="s">
        <v>1280</v>
      </c>
      <c r="E33" s="4" t="s">
        <v>96</v>
      </c>
      <c r="F33" s="4" t="s">
        <v>56</v>
      </c>
      <c r="G33" s="4" t="s">
        <v>1282</v>
      </c>
      <c r="H33" s="4" t="s">
        <v>1408</v>
      </c>
      <c r="I33" s="4" t="s">
        <v>1409</v>
      </c>
      <c r="J33" s="4" t="s">
        <v>1285</v>
      </c>
    </row>
    <row r="34" spans="1:10" ht="48" customHeight="1">
      <c r="A34" s="4" t="s">
        <v>1410</v>
      </c>
      <c r="B34" s="4" t="s">
        <v>1264</v>
      </c>
      <c r="C34" s="4" t="s">
        <v>362</v>
      </c>
      <c r="D34" s="4" t="s">
        <v>1280</v>
      </c>
      <c r="E34" s="4" t="s">
        <v>21</v>
      </c>
      <c r="F34" s="4"/>
      <c r="G34" s="4" t="s">
        <v>1282</v>
      </c>
      <c r="H34" s="4" t="s">
        <v>1411</v>
      </c>
      <c r="I34" s="4" t="s">
        <v>1412</v>
      </c>
      <c r="J34" s="4" t="s">
        <v>1324</v>
      </c>
    </row>
    <row r="35" spans="1:10" ht="48" customHeight="1">
      <c r="A35" s="4" t="s">
        <v>1413</v>
      </c>
      <c r="B35" s="4" t="s">
        <v>1264</v>
      </c>
      <c r="C35" s="4" t="s">
        <v>84</v>
      </c>
      <c r="D35" s="4" t="s">
        <v>1280</v>
      </c>
      <c r="E35" s="4" t="s">
        <v>96</v>
      </c>
      <c r="F35" s="4" t="s">
        <v>92</v>
      </c>
      <c r="G35" s="4" t="s">
        <v>1282</v>
      </c>
      <c r="H35" s="4" t="s">
        <v>1414</v>
      </c>
      <c r="I35" s="4" t="s">
        <v>1415</v>
      </c>
      <c r="J35" s="4" t="s">
        <v>1285</v>
      </c>
    </row>
    <row r="36" spans="1:10" ht="48" customHeight="1">
      <c r="A36" s="4" t="s">
        <v>1416</v>
      </c>
      <c r="B36" s="4" t="s">
        <v>1287</v>
      </c>
      <c r="C36" s="4" t="s">
        <v>1417</v>
      </c>
      <c r="D36" s="4" t="s">
        <v>1280</v>
      </c>
      <c r="E36" s="4" t="s">
        <v>96</v>
      </c>
      <c r="F36" s="4" t="s">
        <v>92</v>
      </c>
      <c r="G36" s="4" t="s">
        <v>1282</v>
      </c>
      <c r="H36" s="4" t="s">
        <v>1418</v>
      </c>
      <c r="I36" s="4" t="s">
        <v>1419</v>
      </c>
      <c r="J36" s="4" t="s">
        <v>1285</v>
      </c>
    </row>
    <row r="37" spans="1:10" ht="48" customHeight="1">
      <c r="A37" s="4" t="s">
        <v>1420</v>
      </c>
      <c r="B37" s="4" t="s">
        <v>1287</v>
      </c>
      <c r="C37" s="4" t="s">
        <v>1421</v>
      </c>
      <c r="D37" s="4" t="s">
        <v>1280</v>
      </c>
      <c r="E37" s="4" t="s">
        <v>21</v>
      </c>
      <c r="F37" s="4" t="s">
        <v>751</v>
      </c>
      <c r="G37" s="4" t="s">
        <v>1282</v>
      </c>
      <c r="H37" s="4" t="s">
        <v>1422</v>
      </c>
      <c r="I37" s="4" t="s">
        <v>1423</v>
      </c>
      <c r="J37" s="4" t="s">
        <v>1285</v>
      </c>
    </row>
    <row r="38" spans="1:10" ht="48" customHeight="1">
      <c r="A38" s="4" t="s">
        <v>1424</v>
      </c>
      <c r="B38" s="4" t="s">
        <v>1264</v>
      </c>
      <c r="C38" s="4" t="s">
        <v>1425</v>
      </c>
      <c r="D38" s="4" t="s">
        <v>1280</v>
      </c>
      <c r="E38" s="4" t="s">
        <v>96</v>
      </c>
      <c r="F38" s="4" t="s">
        <v>531</v>
      </c>
      <c r="G38" s="4" t="s">
        <v>1282</v>
      </c>
      <c r="H38" s="4" t="s">
        <v>1426</v>
      </c>
      <c r="I38" s="4" t="s">
        <v>1427</v>
      </c>
      <c r="J38" s="4" t="s">
        <v>1285</v>
      </c>
    </row>
    <row r="39" spans="1:10" ht="48" customHeight="1">
      <c r="A39" s="4" t="s">
        <v>1428</v>
      </c>
      <c r="B39" s="4" t="s">
        <v>1287</v>
      </c>
      <c r="C39" s="4" t="s">
        <v>1429</v>
      </c>
      <c r="D39" s="4" t="s">
        <v>1280</v>
      </c>
      <c r="E39" s="4" t="s">
        <v>96</v>
      </c>
      <c r="F39" s="4" t="s">
        <v>56</v>
      </c>
      <c r="G39" s="4" t="s">
        <v>1282</v>
      </c>
      <c r="H39" s="4" t="s">
        <v>1430</v>
      </c>
      <c r="I39" s="4" t="s">
        <v>1431</v>
      </c>
      <c r="J39" s="4" t="s">
        <v>1285</v>
      </c>
    </row>
    <row r="40" spans="1:10" ht="48" customHeight="1">
      <c r="A40" s="4" t="s">
        <v>1432</v>
      </c>
      <c r="B40" s="4" t="s">
        <v>1264</v>
      </c>
      <c r="C40" s="4" t="s">
        <v>112</v>
      </c>
      <c r="D40" s="4" t="s">
        <v>1280</v>
      </c>
      <c r="E40" s="4" t="s">
        <v>21</v>
      </c>
      <c r="F40" s="4" t="s">
        <v>32</v>
      </c>
      <c r="G40" s="4" t="s">
        <v>1282</v>
      </c>
      <c r="H40" s="4" t="s">
        <v>1433</v>
      </c>
      <c r="I40" s="4" t="s">
        <v>1434</v>
      </c>
      <c r="J40" s="4" t="s">
        <v>1285</v>
      </c>
    </row>
    <row r="41" spans="1:10" ht="48" customHeight="1">
      <c r="A41" s="4" t="s">
        <v>1435</v>
      </c>
      <c r="B41" s="4" t="s">
        <v>1287</v>
      </c>
      <c r="C41" s="4" t="s">
        <v>1436</v>
      </c>
      <c r="D41" s="4" t="s">
        <v>1280</v>
      </c>
      <c r="E41" s="4" t="s">
        <v>96</v>
      </c>
      <c r="F41" s="4" t="s">
        <v>92</v>
      </c>
      <c r="G41" s="4" t="s">
        <v>1282</v>
      </c>
      <c r="H41" s="4" t="s">
        <v>1437</v>
      </c>
      <c r="I41" s="4" t="s">
        <v>1438</v>
      </c>
      <c r="J41" s="4" t="s">
        <v>1285</v>
      </c>
    </row>
    <row r="42" spans="1:10" ht="48" customHeight="1">
      <c r="A42" s="4" t="s">
        <v>1439</v>
      </c>
      <c r="B42" s="4" t="s">
        <v>1287</v>
      </c>
      <c r="C42" s="4" t="s">
        <v>1440</v>
      </c>
      <c r="D42" s="4" t="s">
        <v>1280</v>
      </c>
      <c r="E42" s="4" t="s">
        <v>96</v>
      </c>
      <c r="F42" s="4" t="s">
        <v>92</v>
      </c>
      <c r="G42" s="4" t="s">
        <v>1282</v>
      </c>
      <c r="H42" s="4" t="s">
        <v>1441</v>
      </c>
      <c r="I42" s="4" t="s">
        <v>1442</v>
      </c>
      <c r="J42" s="4" t="s">
        <v>1285</v>
      </c>
    </row>
    <row r="43" spans="1:10" ht="92.25" customHeight="1">
      <c r="A43" s="4" t="s">
        <v>1443</v>
      </c>
      <c r="B43" s="4" t="s">
        <v>1287</v>
      </c>
      <c r="C43" s="4" t="s">
        <v>1444</v>
      </c>
      <c r="D43" s="4" t="s">
        <v>1280</v>
      </c>
      <c r="E43" s="4" t="s">
        <v>96</v>
      </c>
      <c r="F43" s="4" t="s">
        <v>531</v>
      </c>
      <c r="G43" s="4" t="s">
        <v>1282</v>
      </c>
      <c r="H43" s="4" t="s">
        <v>1445</v>
      </c>
      <c r="I43" s="4" t="s">
        <v>1446</v>
      </c>
      <c r="J43" s="4" t="s">
        <v>1447</v>
      </c>
    </row>
    <row r="44" spans="1:10" ht="48" customHeight="1">
      <c r="A44" s="4" t="s">
        <v>1448</v>
      </c>
      <c r="B44" s="4" t="s">
        <v>1287</v>
      </c>
      <c r="C44" s="4" t="s">
        <v>1449</v>
      </c>
      <c r="D44" s="4" t="s">
        <v>1280</v>
      </c>
      <c r="E44" s="4" t="s">
        <v>96</v>
      </c>
      <c r="F44" s="4" t="s">
        <v>1450</v>
      </c>
      <c r="G44" s="4" t="s">
        <v>1282</v>
      </c>
      <c r="H44" s="4" t="s">
        <v>1451</v>
      </c>
      <c r="I44" s="4" t="s">
        <v>1452</v>
      </c>
      <c r="J44" s="4" t="s">
        <v>1285</v>
      </c>
    </row>
    <row r="45" spans="1:10" ht="48" customHeight="1">
      <c r="A45" s="4" t="s">
        <v>1453</v>
      </c>
      <c r="B45" s="4" t="s">
        <v>1264</v>
      </c>
      <c r="C45" s="4" t="s">
        <v>106</v>
      </c>
      <c r="D45" s="4" t="s">
        <v>1280</v>
      </c>
      <c r="E45" s="4" t="s">
        <v>96</v>
      </c>
      <c r="F45" s="4" t="s">
        <v>1332</v>
      </c>
      <c r="G45" s="4" t="s">
        <v>1282</v>
      </c>
      <c r="H45" s="4" t="s">
        <v>1454</v>
      </c>
      <c r="I45" s="4" t="s">
        <v>1455</v>
      </c>
      <c r="J45" s="4" t="s">
        <v>1285</v>
      </c>
    </row>
    <row r="46" spans="1:10" ht="48" customHeight="1">
      <c r="A46" s="4" t="s">
        <v>1456</v>
      </c>
      <c r="B46" s="4" t="s">
        <v>1287</v>
      </c>
      <c r="C46" s="4" t="s">
        <v>1457</v>
      </c>
      <c r="D46" s="4" t="s">
        <v>1280</v>
      </c>
      <c r="E46" s="4" t="s">
        <v>96</v>
      </c>
      <c r="F46" s="4" t="s">
        <v>1332</v>
      </c>
      <c r="G46" s="4" t="s">
        <v>1282</v>
      </c>
      <c r="H46" s="4" t="s">
        <v>1458</v>
      </c>
      <c r="I46" s="4" t="s">
        <v>1459</v>
      </c>
      <c r="J46" s="4" t="s">
        <v>1285</v>
      </c>
    </row>
    <row r="47" spans="1:10" ht="48" customHeight="1">
      <c r="A47" s="4" t="s">
        <v>1460</v>
      </c>
      <c r="B47" s="4" t="s">
        <v>1287</v>
      </c>
      <c r="C47" s="4" t="s">
        <v>1461</v>
      </c>
      <c r="D47" s="4" t="s">
        <v>1280</v>
      </c>
      <c r="E47" s="4" t="s">
        <v>191</v>
      </c>
      <c r="F47" s="4" t="s">
        <v>1327</v>
      </c>
      <c r="G47" s="4" t="s">
        <v>1289</v>
      </c>
      <c r="H47" s="4" t="s">
        <v>1462</v>
      </c>
      <c r="I47" s="4" t="s">
        <v>1463</v>
      </c>
      <c r="J47" s="4" t="s">
        <v>1285</v>
      </c>
    </row>
    <row r="48" spans="1:10" ht="48" customHeight="1">
      <c r="A48" s="4" t="s">
        <v>1464</v>
      </c>
      <c r="B48" s="4" t="s">
        <v>1287</v>
      </c>
      <c r="C48" s="4" t="s">
        <v>1465</v>
      </c>
      <c r="D48" s="4" t="s">
        <v>1280</v>
      </c>
      <c r="E48" s="4" t="s">
        <v>96</v>
      </c>
      <c r="F48" s="4" t="s">
        <v>92</v>
      </c>
      <c r="G48" s="4" t="s">
        <v>1282</v>
      </c>
      <c r="H48" s="4" t="s">
        <v>1466</v>
      </c>
      <c r="I48" s="4" t="s">
        <v>1467</v>
      </c>
      <c r="J48" s="4" t="s">
        <v>1285</v>
      </c>
    </row>
    <row r="49" spans="1:10" ht="48" customHeight="1">
      <c r="A49" s="4" t="s">
        <v>1468</v>
      </c>
      <c r="B49" s="4" t="s">
        <v>1287</v>
      </c>
      <c r="C49" s="4" t="s">
        <v>1469</v>
      </c>
      <c r="D49" s="4" t="s">
        <v>1280</v>
      </c>
      <c r="E49" s="4" t="s">
        <v>21</v>
      </c>
      <c r="F49" s="4" t="s">
        <v>73</v>
      </c>
      <c r="G49" s="4" t="s">
        <v>1289</v>
      </c>
      <c r="H49" s="4" t="s">
        <v>1470</v>
      </c>
      <c r="I49" s="4" t="s">
        <v>1471</v>
      </c>
      <c r="J49" s="4" t="s">
        <v>1285</v>
      </c>
    </row>
    <row r="50" spans="1:10" ht="48" customHeight="1">
      <c r="A50" s="4" t="s">
        <v>1472</v>
      </c>
      <c r="B50" s="4" t="s">
        <v>1287</v>
      </c>
      <c r="C50" s="4" t="s">
        <v>1473</v>
      </c>
      <c r="D50" s="4" t="s">
        <v>1280</v>
      </c>
      <c r="E50" s="4" t="s">
        <v>96</v>
      </c>
      <c r="F50" s="4" t="s">
        <v>531</v>
      </c>
      <c r="G50" s="4" t="s">
        <v>1282</v>
      </c>
      <c r="H50" s="4" t="s">
        <v>1474</v>
      </c>
      <c r="I50" s="4" t="s">
        <v>1475</v>
      </c>
      <c r="J50" s="4" t="s">
        <v>1285</v>
      </c>
    </row>
    <row r="51" spans="1:10" ht="48" customHeight="1">
      <c r="A51" s="4" t="s">
        <v>1476</v>
      </c>
      <c r="B51" s="4" t="s">
        <v>1287</v>
      </c>
      <c r="C51" s="4" t="s">
        <v>1477</v>
      </c>
      <c r="D51" s="4" t="s">
        <v>1280</v>
      </c>
      <c r="E51" s="4" t="s">
        <v>96</v>
      </c>
      <c r="F51" s="4" t="s">
        <v>92</v>
      </c>
      <c r="G51" s="4" t="s">
        <v>1282</v>
      </c>
      <c r="H51" s="4" t="s">
        <v>1458</v>
      </c>
      <c r="I51" s="4" t="s">
        <v>1478</v>
      </c>
      <c r="J51" s="4" t="s">
        <v>1285</v>
      </c>
    </row>
    <row r="52" spans="1:10" ht="48" customHeight="1">
      <c r="A52" s="4" t="s">
        <v>1479</v>
      </c>
      <c r="B52" s="4" t="s">
        <v>1287</v>
      </c>
      <c r="C52" s="4" t="s">
        <v>1480</v>
      </c>
      <c r="D52" s="4" t="s">
        <v>1280</v>
      </c>
      <c r="E52" s="4" t="s">
        <v>96</v>
      </c>
      <c r="F52" s="4" t="s">
        <v>92</v>
      </c>
      <c r="G52" s="4" t="s">
        <v>1282</v>
      </c>
      <c r="H52" s="4" t="s">
        <v>1458</v>
      </c>
      <c r="I52" s="4" t="s">
        <v>1481</v>
      </c>
      <c r="J52" s="4" t="s">
        <v>1285</v>
      </c>
    </row>
    <row r="53" spans="1:10" ht="48" customHeight="1">
      <c r="A53" s="4" t="s">
        <v>1482</v>
      </c>
      <c r="B53" s="4" t="s">
        <v>1264</v>
      </c>
      <c r="C53" s="4" t="s">
        <v>224</v>
      </c>
      <c r="D53" s="4" t="s">
        <v>1280</v>
      </c>
      <c r="E53" s="4" t="s">
        <v>96</v>
      </c>
      <c r="F53" s="4" t="s">
        <v>92</v>
      </c>
      <c r="G53" s="4" t="s">
        <v>1282</v>
      </c>
      <c r="H53" s="4" t="s">
        <v>1483</v>
      </c>
      <c r="I53" s="4" t="s">
        <v>1484</v>
      </c>
      <c r="J53" s="4" t="s">
        <v>1285</v>
      </c>
    </row>
    <row r="54" spans="1:10" ht="48" customHeight="1">
      <c r="A54" s="4" t="s">
        <v>1485</v>
      </c>
      <c r="B54" s="4" t="s">
        <v>1486</v>
      </c>
      <c r="C54" s="4" t="s">
        <v>1487</v>
      </c>
      <c r="D54" s="4" t="s">
        <v>1280</v>
      </c>
      <c r="E54" s="4" t="s">
        <v>96</v>
      </c>
      <c r="F54" s="4" t="s">
        <v>56</v>
      </c>
      <c r="G54" s="4" t="s">
        <v>1282</v>
      </c>
      <c r="H54" s="4" t="s">
        <v>1488</v>
      </c>
      <c r="I54" s="4" t="s">
        <v>1489</v>
      </c>
      <c r="J54" s="4" t="s">
        <v>1490</v>
      </c>
    </row>
    <row r="55" spans="1:10" ht="48" customHeight="1">
      <c r="A55" s="4" t="s">
        <v>1491</v>
      </c>
      <c r="B55" s="4" t="s">
        <v>1264</v>
      </c>
      <c r="C55" s="4" t="s">
        <v>169</v>
      </c>
      <c r="D55" s="4" t="s">
        <v>1280</v>
      </c>
      <c r="E55" s="4" t="s">
        <v>96</v>
      </c>
      <c r="F55" s="4" t="s">
        <v>228</v>
      </c>
      <c r="G55" s="4" t="s">
        <v>1289</v>
      </c>
      <c r="H55" s="4" t="s">
        <v>1492</v>
      </c>
      <c r="I55" s="4" t="s">
        <v>1493</v>
      </c>
      <c r="J55" s="4" t="s">
        <v>1285</v>
      </c>
    </row>
    <row r="56" spans="1:10" ht="48" customHeight="1">
      <c r="A56" s="4" t="s">
        <v>1494</v>
      </c>
      <c r="B56" s="4" t="s">
        <v>1264</v>
      </c>
      <c r="C56" s="4" t="s">
        <v>200</v>
      </c>
      <c r="D56" s="4" t="s">
        <v>1280</v>
      </c>
      <c r="E56" s="4" t="s">
        <v>96</v>
      </c>
      <c r="F56" s="4" t="s">
        <v>1495</v>
      </c>
      <c r="G56" s="4" t="s">
        <v>1289</v>
      </c>
      <c r="H56" s="4" t="s">
        <v>1496</v>
      </c>
      <c r="I56" s="4" t="s">
        <v>1497</v>
      </c>
      <c r="J56" s="4" t="s">
        <v>1285</v>
      </c>
    </row>
    <row r="57" spans="1:10" ht="48" customHeight="1">
      <c r="A57" s="4" t="s">
        <v>1498</v>
      </c>
      <c r="B57" s="4" t="s">
        <v>1287</v>
      </c>
      <c r="C57" s="4" t="s">
        <v>1499</v>
      </c>
      <c r="D57" s="4" t="s">
        <v>1280</v>
      </c>
      <c r="E57" s="4" t="s">
        <v>96</v>
      </c>
      <c r="F57" s="4" t="s">
        <v>92</v>
      </c>
      <c r="G57" s="4" t="s">
        <v>1289</v>
      </c>
      <c r="H57" s="4" t="s">
        <v>1500</v>
      </c>
      <c r="I57" s="4" t="s">
        <v>1501</v>
      </c>
      <c r="J57" s="4" t="s">
        <v>1285</v>
      </c>
    </row>
    <row r="58" spans="1:10" ht="48" customHeight="1">
      <c r="A58" s="4" t="s">
        <v>1502</v>
      </c>
      <c r="B58" s="4" t="s">
        <v>1287</v>
      </c>
      <c r="C58" s="4" t="s">
        <v>1503</v>
      </c>
      <c r="D58" s="4" t="s">
        <v>1280</v>
      </c>
      <c r="E58" s="4" t="s">
        <v>96</v>
      </c>
      <c r="F58" s="4" t="s">
        <v>1504</v>
      </c>
      <c r="G58" s="4" t="s">
        <v>1282</v>
      </c>
      <c r="H58" s="4" t="s">
        <v>1505</v>
      </c>
      <c r="I58" s="4" t="s">
        <v>1506</v>
      </c>
      <c r="J58" s="4" t="s">
        <v>1285</v>
      </c>
    </row>
    <row r="59" spans="1:10" ht="48" customHeight="1">
      <c r="A59" s="4" t="s">
        <v>1507</v>
      </c>
      <c r="B59" s="4" t="s">
        <v>1287</v>
      </c>
      <c r="C59" s="4" t="s">
        <v>1508</v>
      </c>
      <c r="D59" s="4" t="s">
        <v>1280</v>
      </c>
      <c r="E59" s="4" t="s">
        <v>96</v>
      </c>
      <c r="F59" s="4" t="s">
        <v>92</v>
      </c>
      <c r="G59" s="4" t="s">
        <v>1282</v>
      </c>
      <c r="H59" s="4" t="s">
        <v>1458</v>
      </c>
      <c r="I59" s="4" t="s">
        <v>1509</v>
      </c>
      <c r="J59" s="4" t="s">
        <v>1285</v>
      </c>
    </row>
    <row r="60" spans="1:10" ht="48" customHeight="1">
      <c r="A60" s="4" t="s">
        <v>1510</v>
      </c>
      <c r="B60" s="4" t="s">
        <v>1264</v>
      </c>
      <c r="C60" s="4" t="s">
        <v>135</v>
      </c>
      <c r="D60" s="4" t="s">
        <v>1280</v>
      </c>
      <c r="E60" s="4" t="s">
        <v>96</v>
      </c>
      <c r="F60" s="4" t="s">
        <v>228</v>
      </c>
      <c r="G60" s="4" t="s">
        <v>1282</v>
      </c>
      <c r="H60" s="4" t="s">
        <v>1511</v>
      </c>
      <c r="I60" s="4" t="s">
        <v>1512</v>
      </c>
      <c r="J60" s="4" t="s">
        <v>1285</v>
      </c>
    </row>
    <row r="61" spans="1:10" ht="48" customHeight="1">
      <c r="A61" s="4" t="s">
        <v>1513</v>
      </c>
      <c r="B61" s="4" t="s">
        <v>1287</v>
      </c>
      <c r="C61" s="4" t="s">
        <v>1514</v>
      </c>
      <c r="D61" s="4" t="s">
        <v>1280</v>
      </c>
      <c r="E61" s="4" t="s">
        <v>21</v>
      </c>
      <c r="F61" s="4"/>
      <c r="G61" s="4" t="s">
        <v>1289</v>
      </c>
      <c r="H61" s="4" t="s">
        <v>1515</v>
      </c>
      <c r="I61" s="4" t="s">
        <v>1516</v>
      </c>
      <c r="J61" s="4" t="s">
        <v>1324</v>
      </c>
    </row>
    <row r="62" spans="1:10" ht="48" customHeight="1">
      <c r="A62" s="4" t="s">
        <v>1517</v>
      </c>
      <c r="B62" s="4" t="s">
        <v>1287</v>
      </c>
      <c r="C62" s="4" t="s">
        <v>1518</v>
      </c>
      <c r="D62" s="4" t="s">
        <v>1280</v>
      </c>
      <c r="E62" s="4" t="s">
        <v>96</v>
      </c>
      <c r="F62" s="4" t="s">
        <v>92</v>
      </c>
      <c r="G62" s="4" t="s">
        <v>1282</v>
      </c>
      <c r="H62" s="4" t="s">
        <v>1519</v>
      </c>
      <c r="I62" s="4" t="s">
        <v>1520</v>
      </c>
      <c r="J62" s="4" t="s">
        <v>1285</v>
      </c>
    </row>
    <row r="63" spans="1:10" ht="48" customHeight="1">
      <c r="A63" s="4" t="s">
        <v>1521</v>
      </c>
      <c r="B63" s="4" t="s">
        <v>1287</v>
      </c>
      <c r="C63" s="4" t="s">
        <v>1522</v>
      </c>
      <c r="D63" s="4" t="s">
        <v>1280</v>
      </c>
      <c r="E63" s="4" t="s">
        <v>191</v>
      </c>
      <c r="F63" s="4" t="s">
        <v>1327</v>
      </c>
      <c r="G63" s="4" t="s">
        <v>1282</v>
      </c>
      <c r="H63" s="4" t="s">
        <v>1523</v>
      </c>
      <c r="I63" s="4" t="s">
        <v>1524</v>
      </c>
      <c r="J63" s="4" t="s">
        <v>1285</v>
      </c>
    </row>
    <row r="64" spans="1:10" ht="48" customHeight="1">
      <c r="A64" s="4" t="s">
        <v>1525</v>
      </c>
      <c r="B64" s="4" t="s">
        <v>1287</v>
      </c>
      <c r="C64" s="4" t="s">
        <v>1526</v>
      </c>
      <c r="D64" s="4" t="s">
        <v>1280</v>
      </c>
      <c r="E64" s="4" t="s">
        <v>96</v>
      </c>
      <c r="F64" s="4" t="s">
        <v>92</v>
      </c>
      <c r="G64" s="4" t="s">
        <v>1282</v>
      </c>
      <c r="H64" s="4" t="s">
        <v>1527</v>
      </c>
      <c r="I64" s="4" t="s">
        <v>1528</v>
      </c>
      <c r="J64" s="4" t="s">
        <v>1285</v>
      </c>
    </row>
    <row r="65" spans="1:10" ht="48" customHeight="1">
      <c r="A65" s="4" t="s">
        <v>1529</v>
      </c>
      <c r="B65" s="4" t="s">
        <v>1264</v>
      </c>
      <c r="C65" s="4" t="s">
        <v>980</v>
      </c>
      <c r="D65" s="4" t="s">
        <v>1280</v>
      </c>
      <c r="E65" s="4" t="s">
        <v>96</v>
      </c>
      <c r="F65" s="4" t="s">
        <v>531</v>
      </c>
      <c r="G65" s="4" t="s">
        <v>1282</v>
      </c>
      <c r="H65" s="4" t="s">
        <v>1530</v>
      </c>
      <c r="I65" s="4" t="s">
        <v>1531</v>
      </c>
      <c r="J65" s="4" t="s">
        <v>1285</v>
      </c>
    </row>
    <row r="66" spans="1:10" ht="48" customHeight="1">
      <c r="A66" s="4" t="s">
        <v>1532</v>
      </c>
      <c r="B66" s="4" t="s">
        <v>1264</v>
      </c>
      <c r="C66" s="4" t="s">
        <v>991</v>
      </c>
      <c r="D66" s="4" t="s">
        <v>1280</v>
      </c>
      <c r="E66" s="4" t="s">
        <v>21</v>
      </c>
      <c r="F66" s="4" t="s">
        <v>751</v>
      </c>
      <c r="G66" s="4" t="s">
        <v>1282</v>
      </c>
      <c r="H66" s="4" t="s">
        <v>1533</v>
      </c>
      <c r="I66" s="4" t="s">
        <v>1534</v>
      </c>
      <c r="J66" s="4" t="s">
        <v>1285</v>
      </c>
    </row>
    <row r="67" spans="1:10" ht="48" customHeight="1">
      <c r="A67" s="4" t="s">
        <v>1535</v>
      </c>
      <c r="B67" s="4" t="s">
        <v>1287</v>
      </c>
      <c r="C67" s="4" t="s">
        <v>1536</v>
      </c>
      <c r="D67" s="4" t="s">
        <v>1280</v>
      </c>
      <c r="E67" s="4" t="s">
        <v>96</v>
      </c>
      <c r="F67" s="4" t="s">
        <v>531</v>
      </c>
      <c r="G67" s="4" t="s">
        <v>1282</v>
      </c>
      <c r="H67" s="4" t="s">
        <v>1537</v>
      </c>
      <c r="I67" s="4" t="s">
        <v>1538</v>
      </c>
      <c r="J67" s="4" t="s">
        <v>1285</v>
      </c>
    </row>
    <row r="68" spans="1:10" ht="48" customHeight="1">
      <c r="A68" s="4" t="s">
        <v>1539</v>
      </c>
      <c r="B68" s="4" t="s">
        <v>1287</v>
      </c>
      <c r="C68" s="4" t="s">
        <v>1540</v>
      </c>
      <c r="D68" s="4" t="s">
        <v>1280</v>
      </c>
      <c r="E68" s="4" t="s">
        <v>21</v>
      </c>
      <c r="F68" s="4" t="s">
        <v>32</v>
      </c>
      <c r="G68" s="4" t="s">
        <v>1282</v>
      </c>
      <c r="H68" s="4" t="s">
        <v>1541</v>
      </c>
      <c r="I68" s="4" t="s">
        <v>1542</v>
      </c>
      <c r="J68" s="4" t="s">
        <v>1285</v>
      </c>
    </row>
    <row r="69" spans="1:10" ht="48" customHeight="1">
      <c r="A69" s="4" t="s">
        <v>1543</v>
      </c>
      <c r="B69" s="4" t="s">
        <v>1287</v>
      </c>
      <c r="C69" s="4" t="s">
        <v>1544</v>
      </c>
      <c r="D69" s="4" t="s">
        <v>1280</v>
      </c>
      <c r="E69" s="4" t="s">
        <v>191</v>
      </c>
      <c r="F69" s="4"/>
      <c r="G69" s="4" t="s">
        <v>1289</v>
      </c>
      <c r="H69" s="4" t="s">
        <v>1545</v>
      </c>
      <c r="I69" s="4" t="s">
        <v>1546</v>
      </c>
      <c r="J69" s="4" t="s">
        <v>1547</v>
      </c>
    </row>
    <row r="70" spans="1:10" ht="48" customHeight="1">
      <c r="A70" s="4" t="s">
        <v>1548</v>
      </c>
      <c r="B70" s="4" t="s">
        <v>1264</v>
      </c>
      <c r="C70" s="4" t="s">
        <v>31</v>
      </c>
      <c r="D70" s="4" t="s">
        <v>1280</v>
      </c>
      <c r="E70" s="4" t="s">
        <v>21</v>
      </c>
      <c r="F70" s="4" t="s">
        <v>531</v>
      </c>
      <c r="G70" s="4" t="s">
        <v>1282</v>
      </c>
      <c r="H70" s="4" t="s">
        <v>1549</v>
      </c>
      <c r="I70" s="4" t="s">
        <v>1550</v>
      </c>
      <c r="J70" s="4" t="s">
        <v>1285</v>
      </c>
    </row>
    <row r="71" spans="1:10" ht="48" customHeight="1">
      <c r="A71" s="4" t="s">
        <v>1551</v>
      </c>
      <c r="B71" s="4" t="s">
        <v>1264</v>
      </c>
      <c r="C71" s="4" t="s">
        <v>841</v>
      </c>
      <c r="D71" s="4" t="s">
        <v>1280</v>
      </c>
      <c r="E71" s="4" t="s">
        <v>21</v>
      </c>
      <c r="F71" s="4" t="s">
        <v>531</v>
      </c>
      <c r="G71" s="4" t="s">
        <v>1282</v>
      </c>
      <c r="H71" s="4" t="s">
        <v>1549</v>
      </c>
      <c r="I71" s="4" t="s">
        <v>1552</v>
      </c>
      <c r="J71" s="4" t="s">
        <v>1285</v>
      </c>
    </row>
    <row r="72" spans="1:10" ht="48" customHeight="1">
      <c r="A72" s="4" t="s">
        <v>1553</v>
      </c>
      <c r="B72" s="4" t="s">
        <v>1264</v>
      </c>
      <c r="C72" s="4" t="s">
        <v>791</v>
      </c>
      <c r="D72" s="4" t="s">
        <v>1280</v>
      </c>
      <c r="E72" s="4" t="s">
        <v>21</v>
      </c>
      <c r="F72" s="4" t="s">
        <v>701</v>
      </c>
      <c r="G72" s="4" t="s">
        <v>1282</v>
      </c>
      <c r="H72" s="4" t="s">
        <v>1554</v>
      </c>
      <c r="I72" s="4" t="s">
        <v>1555</v>
      </c>
      <c r="J72" s="4" t="s">
        <v>1285</v>
      </c>
    </row>
    <row r="73" spans="1:10" ht="48" customHeight="1">
      <c r="A73" s="4" t="s">
        <v>1556</v>
      </c>
      <c r="B73" s="4" t="s">
        <v>1264</v>
      </c>
      <c r="C73" s="4" t="s">
        <v>292</v>
      </c>
      <c r="D73" s="4" t="s">
        <v>1280</v>
      </c>
      <c r="E73" s="4" t="s">
        <v>21</v>
      </c>
      <c r="F73" s="4" t="s">
        <v>1557</v>
      </c>
      <c r="G73" s="4" t="s">
        <v>1282</v>
      </c>
      <c r="H73" s="4" t="s">
        <v>1558</v>
      </c>
      <c r="I73" s="4" t="s">
        <v>1559</v>
      </c>
      <c r="J73" s="4" t="s">
        <v>1285</v>
      </c>
    </row>
    <row r="74" spans="1:10" ht="48" customHeight="1">
      <c r="A74" s="4" t="s">
        <v>1560</v>
      </c>
      <c r="B74" s="4" t="s">
        <v>1264</v>
      </c>
      <c r="C74" s="4" t="s">
        <v>889</v>
      </c>
      <c r="D74" s="4" t="s">
        <v>1280</v>
      </c>
      <c r="E74" s="4" t="s">
        <v>21</v>
      </c>
      <c r="F74" s="4" t="s">
        <v>701</v>
      </c>
      <c r="G74" s="4" t="s">
        <v>1282</v>
      </c>
      <c r="H74" s="4" t="s">
        <v>1561</v>
      </c>
      <c r="I74" s="4" t="s">
        <v>1562</v>
      </c>
      <c r="J74" s="4" t="s">
        <v>1547</v>
      </c>
    </row>
    <row r="75" spans="1:10" ht="48" customHeight="1">
      <c r="A75" s="4" t="s">
        <v>1563</v>
      </c>
      <c r="B75" s="4" t="s">
        <v>1264</v>
      </c>
      <c r="C75" s="4" t="s">
        <v>393</v>
      </c>
      <c r="D75" s="4" t="s">
        <v>1280</v>
      </c>
      <c r="E75" s="4" t="s">
        <v>21</v>
      </c>
      <c r="F75" s="4" t="s">
        <v>701</v>
      </c>
      <c r="G75" s="4" t="s">
        <v>1289</v>
      </c>
      <c r="H75" s="4" t="s">
        <v>1564</v>
      </c>
      <c r="I75" s="4" t="s">
        <v>1565</v>
      </c>
      <c r="J75" s="4" t="s">
        <v>1547</v>
      </c>
    </row>
    <row r="76" spans="1:10" ht="48" customHeight="1">
      <c r="A76" s="4" t="s">
        <v>1566</v>
      </c>
      <c r="B76" s="4" t="s">
        <v>1264</v>
      </c>
      <c r="C76" s="4" t="s">
        <v>1567</v>
      </c>
      <c r="D76" s="4" t="s">
        <v>1280</v>
      </c>
      <c r="E76" s="4" t="s">
        <v>21</v>
      </c>
      <c r="F76" s="4" t="s">
        <v>1568</v>
      </c>
      <c r="G76" s="4" t="s">
        <v>1282</v>
      </c>
      <c r="H76" s="4" t="s">
        <v>1569</v>
      </c>
      <c r="I76" s="4" t="s">
        <v>1570</v>
      </c>
      <c r="J76" s="4" t="s">
        <v>1285</v>
      </c>
    </row>
    <row r="77" spans="1:10" ht="48" customHeight="1">
      <c r="A77" s="4" t="s">
        <v>1571</v>
      </c>
      <c r="B77" s="4" t="s">
        <v>1264</v>
      </c>
      <c r="C77" s="4" t="s">
        <v>217</v>
      </c>
      <c r="D77" s="4" t="s">
        <v>1280</v>
      </c>
      <c r="E77" s="4" t="s">
        <v>21</v>
      </c>
      <c r="F77" s="4" t="s">
        <v>701</v>
      </c>
      <c r="G77" s="4" t="s">
        <v>1282</v>
      </c>
      <c r="H77" s="4" t="s">
        <v>1572</v>
      </c>
      <c r="I77" s="4" t="s">
        <v>1573</v>
      </c>
      <c r="J77" s="4" t="s">
        <v>1547</v>
      </c>
    </row>
    <row r="78" spans="1:10" ht="48" customHeight="1">
      <c r="A78" s="4" t="s">
        <v>1574</v>
      </c>
      <c r="B78" s="4" t="s">
        <v>1264</v>
      </c>
      <c r="C78" s="4" t="s">
        <v>285</v>
      </c>
      <c r="D78" s="4" t="s">
        <v>1280</v>
      </c>
      <c r="E78" s="4" t="s">
        <v>21</v>
      </c>
      <c r="F78" s="4" t="s">
        <v>701</v>
      </c>
      <c r="G78" s="4" t="s">
        <v>1282</v>
      </c>
      <c r="H78" s="4" t="s">
        <v>1561</v>
      </c>
      <c r="I78" s="4" t="s">
        <v>1575</v>
      </c>
      <c r="J78" s="4" t="s">
        <v>1547</v>
      </c>
    </row>
    <row r="79" spans="1:10" ht="48" customHeight="1">
      <c r="A79" s="4" t="s">
        <v>1576</v>
      </c>
      <c r="B79" s="4" t="s">
        <v>1264</v>
      </c>
      <c r="C79" s="4" t="s">
        <v>1577</v>
      </c>
      <c r="D79" s="4" t="s">
        <v>1280</v>
      </c>
      <c r="E79" s="4" t="s">
        <v>1578</v>
      </c>
      <c r="F79" s="4" t="s">
        <v>56</v>
      </c>
      <c r="G79" s="4" t="s">
        <v>1317</v>
      </c>
      <c r="H79" s="4" t="s">
        <v>1579</v>
      </c>
      <c r="I79" s="4" t="s">
        <v>1580</v>
      </c>
      <c r="J79" s="4" t="s">
        <v>1285</v>
      </c>
    </row>
    <row r="80" spans="1:10" ht="48" customHeight="1">
      <c r="A80" s="4" t="s">
        <v>1581</v>
      </c>
      <c r="B80" s="4" t="s">
        <v>1264</v>
      </c>
      <c r="C80" s="4" t="s">
        <v>1582</v>
      </c>
      <c r="D80" s="4" t="s">
        <v>1280</v>
      </c>
      <c r="E80" s="4" t="s">
        <v>21</v>
      </c>
      <c r="F80" s="4" t="s">
        <v>751</v>
      </c>
      <c r="G80" s="4" t="s">
        <v>1282</v>
      </c>
      <c r="H80" s="4" t="s">
        <v>1583</v>
      </c>
      <c r="I80" s="4" t="s">
        <v>1584</v>
      </c>
      <c r="J80" s="4" t="s">
        <v>1285</v>
      </c>
    </row>
    <row r="81" spans="1:10" ht="48" customHeight="1">
      <c r="A81" s="4" t="s">
        <v>1585</v>
      </c>
      <c r="B81" s="4" t="s">
        <v>1264</v>
      </c>
      <c r="C81" s="4" t="s">
        <v>1586</v>
      </c>
      <c r="D81" s="4" t="s">
        <v>1280</v>
      </c>
      <c r="E81" s="4" t="s">
        <v>21</v>
      </c>
      <c r="F81" s="4" t="s">
        <v>751</v>
      </c>
      <c r="G81" s="4" t="s">
        <v>1282</v>
      </c>
      <c r="H81" s="4" t="s">
        <v>1583</v>
      </c>
      <c r="I81" s="4" t="s">
        <v>1587</v>
      </c>
      <c r="J81" s="4" t="s">
        <v>1285</v>
      </c>
    </row>
    <row r="82" spans="1:10" ht="48" customHeight="1">
      <c r="A82" s="4" t="s">
        <v>1588</v>
      </c>
      <c r="B82" s="4" t="s">
        <v>1264</v>
      </c>
      <c r="C82" s="4" t="s">
        <v>1589</v>
      </c>
      <c r="D82" s="4" t="s">
        <v>1280</v>
      </c>
      <c r="E82" s="4" t="s">
        <v>21</v>
      </c>
      <c r="F82" s="4" t="s">
        <v>1568</v>
      </c>
      <c r="G82" s="4" t="s">
        <v>1282</v>
      </c>
      <c r="H82" s="4" t="s">
        <v>1590</v>
      </c>
      <c r="I82" s="4" t="s">
        <v>1591</v>
      </c>
      <c r="J82" s="4" t="s">
        <v>1285</v>
      </c>
    </row>
    <row r="83" spans="1:10" ht="48" customHeight="1">
      <c r="A83" s="4" t="s">
        <v>1592</v>
      </c>
      <c r="B83" s="4" t="s">
        <v>1264</v>
      </c>
      <c r="C83" s="4" t="s">
        <v>1593</v>
      </c>
      <c r="D83" s="4" t="s">
        <v>1280</v>
      </c>
      <c r="E83" s="4" t="s">
        <v>21</v>
      </c>
      <c r="F83" s="4" t="s">
        <v>1568</v>
      </c>
      <c r="G83" s="4" t="s">
        <v>1289</v>
      </c>
      <c r="H83" s="4" t="s">
        <v>1594</v>
      </c>
      <c r="I83" s="4" t="s">
        <v>1595</v>
      </c>
      <c r="J83" s="4" t="s">
        <v>1285</v>
      </c>
    </row>
    <row r="84" spans="1:10" ht="48" customHeight="1">
      <c r="A84" s="4" t="s">
        <v>1596</v>
      </c>
      <c r="B84" s="4" t="s">
        <v>1287</v>
      </c>
      <c r="C84" s="4" t="s">
        <v>1597</v>
      </c>
      <c r="D84" s="4" t="s">
        <v>1280</v>
      </c>
      <c r="E84" s="4" t="s">
        <v>96</v>
      </c>
      <c r="F84" s="4" t="s">
        <v>56</v>
      </c>
      <c r="G84" s="4" t="s">
        <v>1282</v>
      </c>
      <c r="H84" s="4" t="s">
        <v>1598</v>
      </c>
      <c r="I84" s="4" t="s">
        <v>1599</v>
      </c>
      <c r="J84" s="4" t="s">
        <v>1285</v>
      </c>
    </row>
    <row r="85" spans="1:10" ht="48" customHeight="1">
      <c r="A85" s="4" t="s">
        <v>1600</v>
      </c>
      <c r="B85" s="4" t="s">
        <v>1264</v>
      </c>
      <c r="C85" s="4" t="s">
        <v>141</v>
      </c>
      <c r="D85" s="4" t="s">
        <v>1280</v>
      </c>
      <c r="E85" s="4" t="s">
        <v>21</v>
      </c>
      <c r="F85" s="4" t="s">
        <v>228</v>
      </c>
      <c r="G85" s="4" t="s">
        <v>1282</v>
      </c>
      <c r="H85" s="4" t="s">
        <v>1601</v>
      </c>
      <c r="I85" s="4" t="s">
        <v>1602</v>
      </c>
      <c r="J85" s="4" t="s">
        <v>1285</v>
      </c>
    </row>
    <row r="86" spans="1:10" ht="48" customHeight="1">
      <c r="A86" s="4" t="s">
        <v>1603</v>
      </c>
      <c r="B86" s="4" t="s">
        <v>1264</v>
      </c>
      <c r="C86" s="4" t="s">
        <v>229</v>
      </c>
      <c r="D86" s="4" t="s">
        <v>1280</v>
      </c>
      <c r="E86" s="4" t="s">
        <v>21</v>
      </c>
      <c r="F86" s="4" t="s">
        <v>1568</v>
      </c>
      <c r="G86" s="4" t="s">
        <v>1282</v>
      </c>
      <c r="H86" s="4" t="s">
        <v>1604</v>
      </c>
      <c r="I86" s="4" t="s">
        <v>1605</v>
      </c>
      <c r="J86" s="4" t="s">
        <v>1285</v>
      </c>
    </row>
    <row r="87" spans="1:10" ht="48" customHeight="1">
      <c r="A87" s="4" t="s">
        <v>1606</v>
      </c>
      <c r="B87" s="4" t="s">
        <v>1264</v>
      </c>
      <c r="C87" s="4" t="s">
        <v>522</v>
      </c>
      <c r="D87" s="4" t="s">
        <v>1280</v>
      </c>
      <c r="E87" s="4" t="s">
        <v>21</v>
      </c>
      <c r="F87" s="4" t="s">
        <v>531</v>
      </c>
      <c r="G87" s="4" t="s">
        <v>1282</v>
      </c>
      <c r="H87" s="4" t="s">
        <v>1607</v>
      </c>
      <c r="I87" s="4" t="s">
        <v>1608</v>
      </c>
      <c r="J87" s="4" t="s">
        <v>1285</v>
      </c>
    </row>
    <row r="88" spans="1:10" ht="48" customHeight="1">
      <c r="A88" s="4" t="s">
        <v>1609</v>
      </c>
      <c r="B88" s="4" t="s">
        <v>1264</v>
      </c>
      <c r="C88" s="4" t="s">
        <v>755</v>
      </c>
      <c r="D88" s="4" t="s">
        <v>1280</v>
      </c>
      <c r="E88" s="4" t="s">
        <v>21</v>
      </c>
      <c r="F88" s="4" t="s">
        <v>751</v>
      </c>
      <c r="G88" s="4" t="s">
        <v>1282</v>
      </c>
      <c r="H88" s="4" t="s">
        <v>1583</v>
      </c>
      <c r="I88" s="4" t="s">
        <v>1610</v>
      </c>
      <c r="J88" s="4" t="s">
        <v>1285</v>
      </c>
    </row>
    <row r="89" spans="1:10" ht="48" customHeight="1">
      <c r="A89" s="4" t="s">
        <v>1611</v>
      </c>
      <c r="B89" s="4" t="s">
        <v>1264</v>
      </c>
      <c r="C89" s="4" t="s">
        <v>821</v>
      </c>
      <c r="D89" s="4" t="s">
        <v>1280</v>
      </c>
      <c r="E89" s="4" t="s">
        <v>21</v>
      </c>
      <c r="F89" s="4" t="s">
        <v>751</v>
      </c>
      <c r="G89" s="4" t="s">
        <v>1282</v>
      </c>
      <c r="H89" s="4" t="s">
        <v>1612</v>
      </c>
      <c r="I89" s="4" t="s">
        <v>1613</v>
      </c>
      <c r="J89" s="4" t="s">
        <v>1285</v>
      </c>
    </row>
    <row r="90" spans="1:10" ht="48" customHeight="1">
      <c r="A90" s="4" t="s">
        <v>1614</v>
      </c>
      <c r="B90" s="4" t="s">
        <v>1264</v>
      </c>
      <c r="C90" s="4" t="s">
        <v>1191</v>
      </c>
      <c r="D90" s="4" t="s">
        <v>1280</v>
      </c>
      <c r="E90" s="4" t="s">
        <v>21</v>
      </c>
      <c r="F90" s="4" t="s">
        <v>701</v>
      </c>
      <c r="G90" s="4" t="s">
        <v>1282</v>
      </c>
      <c r="H90" s="4" t="s">
        <v>1572</v>
      </c>
      <c r="I90" s="4" t="s">
        <v>1615</v>
      </c>
      <c r="J90" s="4" t="s">
        <v>1547</v>
      </c>
    </row>
    <row r="91" spans="1:10" ht="48" customHeight="1">
      <c r="A91" s="4" t="s">
        <v>1616</v>
      </c>
      <c r="B91" s="4" t="s">
        <v>1264</v>
      </c>
      <c r="C91" s="4" t="s">
        <v>1193</v>
      </c>
      <c r="D91" s="4" t="s">
        <v>1280</v>
      </c>
      <c r="E91" s="4" t="s">
        <v>21</v>
      </c>
      <c r="F91" s="4" t="s">
        <v>701</v>
      </c>
      <c r="G91" s="4" t="s">
        <v>1282</v>
      </c>
      <c r="H91" s="4" t="s">
        <v>1572</v>
      </c>
      <c r="I91" s="4" t="s">
        <v>1617</v>
      </c>
      <c r="J91" s="4" t="s">
        <v>1547</v>
      </c>
    </row>
    <row r="92" spans="1:10" ht="48" customHeight="1">
      <c r="A92" s="4" t="s">
        <v>1618</v>
      </c>
      <c r="B92" s="4" t="s">
        <v>1264</v>
      </c>
      <c r="C92" s="4" t="s">
        <v>1195</v>
      </c>
      <c r="D92" s="4" t="s">
        <v>1280</v>
      </c>
      <c r="E92" s="4" t="s">
        <v>21</v>
      </c>
      <c r="F92" s="4" t="s">
        <v>701</v>
      </c>
      <c r="G92" s="4" t="s">
        <v>1282</v>
      </c>
      <c r="H92" s="4" t="s">
        <v>1572</v>
      </c>
      <c r="I92" s="4" t="s">
        <v>1619</v>
      </c>
      <c r="J92" s="4" t="s">
        <v>1547</v>
      </c>
    </row>
    <row r="93" spans="1:10" ht="48" customHeight="1">
      <c r="A93" s="4" t="s">
        <v>1620</v>
      </c>
      <c r="B93" s="4" t="s">
        <v>1264</v>
      </c>
      <c r="C93" s="4" t="s">
        <v>709</v>
      </c>
      <c r="D93" s="4" t="s">
        <v>1280</v>
      </c>
      <c r="E93" s="4" t="s">
        <v>21</v>
      </c>
      <c r="F93" s="4" t="s">
        <v>751</v>
      </c>
      <c r="G93" s="4" t="s">
        <v>1282</v>
      </c>
      <c r="H93" s="4" t="s">
        <v>1621</v>
      </c>
      <c r="I93" s="4" t="s">
        <v>1622</v>
      </c>
      <c r="J93" s="4" t="s">
        <v>1285</v>
      </c>
    </row>
    <row r="94" spans="1:10" ht="48" customHeight="1">
      <c r="A94" s="4" t="s">
        <v>1623</v>
      </c>
      <c r="B94" s="4" t="s">
        <v>1264</v>
      </c>
      <c r="C94" s="4" t="s">
        <v>524</v>
      </c>
      <c r="D94" s="4" t="s">
        <v>1280</v>
      </c>
      <c r="E94" s="4" t="s">
        <v>21</v>
      </c>
      <c r="F94" s="4" t="s">
        <v>228</v>
      </c>
      <c r="G94" s="4" t="s">
        <v>1282</v>
      </c>
      <c r="H94" s="4" t="s">
        <v>1624</v>
      </c>
      <c r="I94" s="4" t="s">
        <v>1625</v>
      </c>
      <c r="J94" s="4" t="s">
        <v>1285</v>
      </c>
    </row>
    <row r="95" spans="1:10" ht="48" customHeight="1">
      <c r="A95" s="4" t="s">
        <v>1626</v>
      </c>
      <c r="B95" s="4" t="s">
        <v>1264</v>
      </c>
      <c r="C95" s="4" t="s">
        <v>918</v>
      </c>
      <c r="D95" s="4" t="s">
        <v>1280</v>
      </c>
      <c r="E95" s="4" t="s">
        <v>21</v>
      </c>
      <c r="F95" s="4" t="s">
        <v>228</v>
      </c>
      <c r="G95" s="4" t="s">
        <v>1282</v>
      </c>
      <c r="H95" s="4" t="s">
        <v>1627</v>
      </c>
      <c r="I95" s="4" t="s">
        <v>1628</v>
      </c>
      <c r="J95" s="4" t="s">
        <v>1285</v>
      </c>
    </row>
    <row r="96" spans="1:10" ht="48" customHeight="1">
      <c r="A96" s="4" t="s">
        <v>1629</v>
      </c>
      <c r="B96" s="4" t="s">
        <v>1264</v>
      </c>
      <c r="C96" s="4" t="s">
        <v>738</v>
      </c>
      <c r="D96" s="4" t="s">
        <v>1280</v>
      </c>
      <c r="E96" s="4" t="s">
        <v>21</v>
      </c>
      <c r="F96" s="4" t="s">
        <v>531</v>
      </c>
      <c r="G96" s="4" t="s">
        <v>1282</v>
      </c>
      <c r="H96" s="4" t="s">
        <v>1630</v>
      </c>
      <c r="I96" s="4" t="s">
        <v>1631</v>
      </c>
      <c r="J96" s="4" t="s">
        <v>1285</v>
      </c>
    </row>
    <row r="97" spans="1:10" ht="48" customHeight="1">
      <c r="A97" s="4" t="s">
        <v>1632</v>
      </c>
      <c r="B97" s="4" t="s">
        <v>1287</v>
      </c>
      <c r="C97" s="4"/>
      <c r="D97" s="4" t="s">
        <v>1280</v>
      </c>
      <c r="E97" s="4" t="s">
        <v>444</v>
      </c>
      <c r="F97" s="4" t="s">
        <v>1633</v>
      </c>
      <c r="G97" s="4" t="s">
        <v>1634</v>
      </c>
      <c r="H97" s="4" t="s">
        <v>1635</v>
      </c>
      <c r="I97" s="4" t="s">
        <v>1636</v>
      </c>
      <c r="J97" s="4" t="s">
        <v>1285</v>
      </c>
    </row>
    <row r="98" spans="1:10" ht="48" customHeight="1">
      <c r="A98" s="4" t="s">
        <v>1637</v>
      </c>
      <c r="B98" s="4" t="s">
        <v>1264</v>
      </c>
      <c r="C98" s="4" t="s">
        <v>1638</v>
      </c>
      <c r="D98" s="4" t="s">
        <v>1280</v>
      </c>
      <c r="E98" s="4" t="s">
        <v>21</v>
      </c>
      <c r="F98" s="4" t="s">
        <v>1639</v>
      </c>
      <c r="G98" s="4" t="s">
        <v>1640</v>
      </c>
      <c r="H98" s="4" t="s">
        <v>1641</v>
      </c>
      <c r="I98" s="4" t="s">
        <v>1642</v>
      </c>
      <c r="J98" s="4" t="s">
        <v>1643</v>
      </c>
    </row>
    <row r="99" spans="1:10" ht="48" customHeight="1">
      <c r="A99" s="4" t="s">
        <v>1637</v>
      </c>
      <c r="B99" s="4" t="s">
        <v>1264</v>
      </c>
      <c r="C99" s="4" t="s">
        <v>1638</v>
      </c>
      <c r="D99" s="4" t="s">
        <v>1644</v>
      </c>
      <c r="E99" s="4" t="s">
        <v>21</v>
      </c>
      <c r="F99" s="4" t="s">
        <v>1639</v>
      </c>
      <c r="G99" s="4" t="s">
        <v>1645</v>
      </c>
      <c r="H99" s="4" t="s">
        <v>1641</v>
      </c>
      <c r="I99" s="4" t="s">
        <v>1642</v>
      </c>
      <c r="J99" s="4" t="s">
        <v>1646</v>
      </c>
    </row>
    <row r="100" spans="1:10" ht="48" customHeight="1">
      <c r="A100" s="4" t="s">
        <v>1647</v>
      </c>
      <c r="B100" s="4" t="s">
        <v>1287</v>
      </c>
      <c r="C100" s="4" t="s">
        <v>1648</v>
      </c>
      <c r="D100" s="4" t="s">
        <v>1280</v>
      </c>
      <c r="E100" s="4" t="s">
        <v>21</v>
      </c>
      <c r="F100" s="4" t="s">
        <v>1568</v>
      </c>
      <c r="G100" s="4" t="s">
        <v>1640</v>
      </c>
      <c r="H100" s="4" t="s">
        <v>1649</v>
      </c>
      <c r="I100" s="4" t="s">
        <v>1650</v>
      </c>
      <c r="J100" s="4" t="s">
        <v>1651</v>
      </c>
    </row>
    <row r="101" spans="1:10" ht="48" customHeight="1">
      <c r="A101" s="4" t="s">
        <v>1647</v>
      </c>
      <c r="B101" s="4" t="s">
        <v>1287</v>
      </c>
      <c r="C101" s="4" t="s">
        <v>1648</v>
      </c>
      <c r="D101" s="4" t="s">
        <v>1644</v>
      </c>
      <c r="E101" s="4" t="s">
        <v>21</v>
      </c>
      <c r="F101" s="4" t="s">
        <v>1568</v>
      </c>
      <c r="G101" s="4" t="s">
        <v>1652</v>
      </c>
      <c r="H101" s="4" t="s">
        <v>1649</v>
      </c>
      <c r="I101" s="4" t="s">
        <v>1650</v>
      </c>
      <c r="J101" s="4" t="s">
        <v>1646</v>
      </c>
    </row>
    <row r="102" spans="1:10" ht="48" customHeight="1">
      <c r="A102" s="4" t="s">
        <v>1653</v>
      </c>
      <c r="B102" s="4" t="s">
        <v>1287</v>
      </c>
      <c r="C102" s="4"/>
      <c r="D102" s="4" t="s">
        <v>1280</v>
      </c>
      <c r="E102" s="4" t="s">
        <v>96</v>
      </c>
      <c r="F102" s="4" t="s">
        <v>228</v>
      </c>
      <c r="G102" s="4" t="s">
        <v>1282</v>
      </c>
      <c r="H102" s="4" t="s">
        <v>1654</v>
      </c>
      <c r="I102" s="4" t="s">
        <v>1655</v>
      </c>
      <c r="J102" s="4" t="s">
        <v>1447</v>
      </c>
    </row>
    <row r="103" spans="1:10" ht="48" customHeight="1">
      <c r="A103" s="4" t="s">
        <v>1656</v>
      </c>
      <c r="B103" s="4" t="s">
        <v>1287</v>
      </c>
      <c r="C103" s="4"/>
      <c r="D103" s="4" t="s">
        <v>1280</v>
      </c>
      <c r="E103" s="4" t="s">
        <v>96</v>
      </c>
      <c r="F103" s="4" t="s">
        <v>228</v>
      </c>
      <c r="G103" s="4" t="s">
        <v>1282</v>
      </c>
      <c r="H103" s="4" t="s">
        <v>1654</v>
      </c>
      <c r="I103" s="4" t="s">
        <v>1657</v>
      </c>
      <c r="J103" s="4" t="s">
        <v>1447</v>
      </c>
    </row>
    <row r="104" spans="1:10" ht="48" customHeight="1">
      <c r="A104" s="10"/>
      <c r="B104" s="10" t="s">
        <v>1287</v>
      </c>
      <c r="C104" s="10"/>
      <c r="D104" s="10" t="s">
        <v>1280</v>
      </c>
      <c r="E104" s="4" t="s">
        <v>21</v>
      </c>
      <c r="F104" s="4" t="s">
        <v>701</v>
      </c>
      <c r="G104" s="10"/>
      <c r="H104" s="11" t="s">
        <v>1658</v>
      </c>
      <c r="I104" s="10" t="s">
        <v>1659</v>
      </c>
      <c r="J104" s="10" t="s">
        <v>1660</v>
      </c>
    </row>
    <row r="105" spans="1:10" ht="48" customHeight="1">
      <c r="A105" s="4" t="s">
        <v>1661</v>
      </c>
      <c r="B105" s="4" t="s">
        <v>1264</v>
      </c>
      <c r="C105" s="4"/>
      <c r="D105" s="4" t="s">
        <v>1280</v>
      </c>
      <c r="E105" s="4" t="s">
        <v>21</v>
      </c>
      <c r="F105" s="4" t="s">
        <v>701</v>
      </c>
      <c r="G105" s="4" t="s">
        <v>1662</v>
      </c>
      <c r="H105" s="4" t="s">
        <v>1663</v>
      </c>
      <c r="I105" s="4" t="s">
        <v>1664</v>
      </c>
      <c r="J105" s="4" t="s">
        <v>1665</v>
      </c>
    </row>
    <row r="106" spans="1:10" ht="48" customHeight="1">
      <c r="A106" s="4" t="s">
        <v>1666</v>
      </c>
      <c r="B106" s="4" t="s">
        <v>1264</v>
      </c>
      <c r="C106" s="4"/>
      <c r="D106" s="4" t="s">
        <v>1280</v>
      </c>
      <c r="E106" s="4" t="s">
        <v>21</v>
      </c>
      <c r="F106" s="4" t="s">
        <v>701</v>
      </c>
      <c r="G106" s="4" t="s">
        <v>1662</v>
      </c>
      <c r="H106" s="4" t="s">
        <v>1663</v>
      </c>
      <c r="I106" s="4" t="s">
        <v>1667</v>
      </c>
      <c r="J106" s="4" t="s">
        <v>1665</v>
      </c>
    </row>
    <row r="107" spans="1:10" ht="48" customHeight="1">
      <c r="A107" s="4" t="s">
        <v>1668</v>
      </c>
      <c r="B107" s="4" t="s">
        <v>1264</v>
      </c>
      <c r="C107" s="4"/>
      <c r="D107" s="4" t="s">
        <v>1280</v>
      </c>
      <c r="E107" s="4" t="s">
        <v>21</v>
      </c>
      <c r="F107" s="4" t="s">
        <v>701</v>
      </c>
      <c r="G107" s="4" t="s">
        <v>1669</v>
      </c>
      <c r="H107" s="4" t="s">
        <v>1670</v>
      </c>
      <c r="I107" s="4" t="s">
        <v>1671</v>
      </c>
      <c r="J107" s="4" t="s">
        <v>1672</v>
      </c>
    </row>
    <row r="108" spans="1:10" ht="48" customHeight="1">
      <c r="A108" s="4" t="s">
        <v>1673</v>
      </c>
      <c r="B108" s="4" t="s">
        <v>1264</v>
      </c>
      <c r="C108" s="4"/>
      <c r="D108" s="4" t="s">
        <v>1280</v>
      </c>
      <c r="E108" s="4" t="s">
        <v>21</v>
      </c>
      <c r="F108" s="4" t="s">
        <v>701</v>
      </c>
      <c r="G108" s="4" t="s">
        <v>1674</v>
      </c>
      <c r="H108" s="4" t="s">
        <v>1675</v>
      </c>
      <c r="I108" s="4" t="s">
        <v>1676</v>
      </c>
      <c r="J108" s="4" t="s">
        <v>1672</v>
      </c>
    </row>
    <row r="109" spans="1:10" ht="48" customHeight="1">
      <c r="A109" s="4" t="s">
        <v>1677</v>
      </c>
      <c r="B109" s="4" t="s">
        <v>1264</v>
      </c>
      <c r="C109" s="4"/>
      <c r="D109" s="4" t="s">
        <v>1280</v>
      </c>
      <c r="E109" s="4" t="s">
        <v>21</v>
      </c>
      <c r="F109" s="4" t="s">
        <v>1678</v>
      </c>
      <c r="G109" s="4" t="s">
        <v>1679</v>
      </c>
      <c r="H109" s="4" t="s">
        <v>1680</v>
      </c>
      <c r="I109" s="4" t="s">
        <v>1681</v>
      </c>
      <c r="J109" s="4" t="s">
        <v>1672</v>
      </c>
    </row>
    <row r="110" spans="1:10" ht="48" customHeight="1">
      <c r="A110" s="4" t="s">
        <v>1682</v>
      </c>
      <c r="B110" s="4" t="s">
        <v>1264</v>
      </c>
      <c r="C110" s="4"/>
      <c r="D110" s="4" t="s">
        <v>1280</v>
      </c>
      <c r="E110" s="4" t="s">
        <v>21</v>
      </c>
      <c r="F110" s="4" t="s">
        <v>701</v>
      </c>
      <c r="G110" s="4" t="s">
        <v>1683</v>
      </c>
      <c r="H110" s="4" t="s">
        <v>1684</v>
      </c>
      <c r="I110" s="4" t="s">
        <v>1685</v>
      </c>
      <c r="J110" s="4" t="s">
        <v>1672</v>
      </c>
    </row>
    <row r="111" spans="1:10" ht="48" customHeight="1">
      <c r="A111" s="4" t="s">
        <v>1686</v>
      </c>
      <c r="B111" s="4" t="s">
        <v>1264</v>
      </c>
      <c r="C111" s="4"/>
      <c r="D111" s="4" t="s">
        <v>1280</v>
      </c>
      <c r="E111" s="4" t="s">
        <v>21</v>
      </c>
      <c r="F111" s="4" t="s">
        <v>1678</v>
      </c>
      <c r="G111" s="4" t="s">
        <v>1683</v>
      </c>
      <c r="H111" s="4" t="s">
        <v>1687</v>
      </c>
      <c r="I111" s="4" t="s">
        <v>1688</v>
      </c>
      <c r="J111" s="4" t="s">
        <v>1672</v>
      </c>
    </row>
    <row r="112" spans="1:10" ht="48" customHeight="1">
      <c r="A112" s="4" t="s">
        <v>1689</v>
      </c>
      <c r="B112" s="4" t="s">
        <v>1264</v>
      </c>
      <c r="C112" s="4"/>
      <c r="D112" s="4" t="s">
        <v>1280</v>
      </c>
      <c r="E112" s="4" t="s">
        <v>21</v>
      </c>
      <c r="F112" s="4" t="s">
        <v>1678</v>
      </c>
      <c r="G112" s="4" t="s">
        <v>1690</v>
      </c>
      <c r="H112" s="4" t="s">
        <v>1691</v>
      </c>
      <c r="I112" s="4" t="s">
        <v>1692</v>
      </c>
      <c r="J112" s="4" t="s">
        <v>1672</v>
      </c>
    </row>
    <row r="113" spans="1:10" ht="48" customHeight="1">
      <c r="A113" s="4" t="s">
        <v>1693</v>
      </c>
      <c r="B113" s="4" t="s">
        <v>1264</v>
      </c>
      <c r="C113" s="4"/>
      <c r="D113" s="4" t="s">
        <v>1280</v>
      </c>
      <c r="E113" s="4" t="s">
        <v>21</v>
      </c>
      <c r="F113" s="4" t="s">
        <v>701</v>
      </c>
      <c r="G113" s="4" t="s">
        <v>1694</v>
      </c>
      <c r="H113" s="4" t="s">
        <v>1695</v>
      </c>
      <c r="I113" s="4" t="s">
        <v>1696</v>
      </c>
      <c r="J113" s="4" t="s">
        <v>1672</v>
      </c>
    </row>
    <row r="114" spans="1:10" ht="48" customHeight="1">
      <c r="A114" s="4" t="s">
        <v>1697</v>
      </c>
      <c r="B114" s="4" t="s">
        <v>1264</v>
      </c>
      <c r="C114" s="4"/>
      <c r="D114" s="4" t="s">
        <v>1280</v>
      </c>
      <c r="E114" s="4" t="s">
        <v>21</v>
      </c>
      <c r="F114" s="4" t="s">
        <v>701</v>
      </c>
      <c r="G114" s="4" t="s">
        <v>1698</v>
      </c>
      <c r="H114" s="4" t="s">
        <v>1699</v>
      </c>
      <c r="I114" s="4" t="s">
        <v>1700</v>
      </c>
      <c r="J114" s="4" t="s">
        <v>1672</v>
      </c>
    </row>
    <row r="115" spans="1:10" ht="48" customHeight="1">
      <c r="A115" s="4" t="s">
        <v>1701</v>
      </c>
      <c r="B115" s="4" t="s">
        <v>1264</v>
      </c>
      <c r="C115" s="4"/>
      <c r="D115" s="4" t="s">
        <v>1280</v>
      </c>
      <c r="E115" s="4" t="s">
        <v>191</v>
      </c>
      <c r="F115" s="4" t="s">
        <v>701</v>
      </c>
      <c r="G115" s="4" t="s">
        <v>1702</v>
      </c>
      <c r="H115" s="4" t="s">
        <v>1703</v>
      </c>
      <c r="I115" s="4" t="s">
        <v>1704</v>
      </c>
      <c r="J115" s="4" t="s">
        <v>1705</v>
      </c>
    </row>
    <row r="116" spans="1:10" ht="48" customHeight="1">
      <c r="A116" s="4" t="s">
        <v>1706</v>
      </c>
      <c r="B116" s="4" t="s">
        <v>1264</v>
      </c>
      <c r="C116" s="4"/>
      <c r="D116" s="4" t="s">
        <v>1280</v>
      </c>
      <c r="E116" s="4" t="s">
        <v>191</v>
      </c>
      <c r="F116" s="4" t="s">
        <v>21</v>
      </c>
      <c r="G116" s="4" t="s">
        <v>1707</v>
      </c>
      <c r="H116" s="4" t="s">
        <v>1708</v>
      </c>
      <c r="I116" s="4" t="s">
        <v>1709</v>
      </c>
      <c r="J116" s="4" t="s">
        <v>1705</v>
      </c>
    </row>
    <row r="117" spans="1:10" ht="48" customHeight="1">
      <c r="A117" s="4" t="s">
        <v>1710</v>
      </c>
      <c r="B117" s="4" t="s">
        <v>1264</v>
      </c>
      <c r="C117" s="4"/>
      <c r="D117" s="4" t="s">
        <v>1280</v>
      </c>
      <c r="E117" s="4" t="s">
        <v>191</v>
      </c>
      <c r="F117" s="4"/>
      <c r="G117" s="4" t="s">
        <v>1711</v>
      </c>
      <c r="H117" s="4" t="s">
        <v>1712</v>
      </c>
      <c r="I117" s="4" t="s">
        <v>1713</v>
      </c>
      <c r="J117" s="4" t="s">
        <v>1705</v>
      </c>
    </row>
    <row r="118" spans="1:10" ht="48" customHeight="1">
      <c r="A118" s="4" t="s">
        <v>1714</v>
      </c>
      <c r="B118" s="4" t="s">
        <v>1287</v>
      </c>
      <c r="C118" s="4"/>
      <c r="D118" s="4" t="s">
        <v>1280</v>
      </c>
      <c r="E118" s="4" t="s">
        <v>157</v>
      </c>
      <c r="F118" s="4"/>
      <c r="G118" s="4" t="s">
        <v>1715</v>
      </c>
      <c r="H118" s="4" t="s">
        <v>1716</v>
      </c>
      <c r="I118" s="4" t="s">
        <v>1717</v>
      </c>
      <c r="J118" s="4" t="s">
        <v>1705</v>
      </c>
    </row>
    <row r="119" spans="1:10" ht="48" customHeight="1">
      <c r="A119" s="4" t="s">
        <v>1718</v>
      </c>
      <c r="B119" s="4" t="s">
        <v>1287</v>
      </c>
      <c r="C119" s="4"/>
      <c r="D119" s="4" t="s">
        <v>1280</v>
      </c>
      <c r="E119" s="4" t="s">
        <v>157</v>
      </c>
      <c r="F119" s="4"/>
      <c r="G119" s="4" t="s">
        <v>1719</v>
      </c>
      <c r="H119" s="4" t="s">
        <v>1720</v>
      </c>
      <c r="I119" s="4" t="s">
        <v>1721</v>
      </c>
      <c r="J119" s="4" t="s">
        <v>1705</v>
      </c>
    </row>
    <row r="120" spans="1:10" ht="48" customHeight="1">
      <c r="A120" s="4" t="s">
        <v>1722</v>
      </c>
      <c r="B120" s="4" t="s">
        <v>1287</v>
      </c>
      <c r="C120" s="4"/>
      <c r="D120" s="4" t="s">
        <v>1280</v>
      </c>
      <c r="E120" s="4" t="s">
        <v>157</v>
      </c>
      <c r="F120" s="4"/>
      <c r="G120" s="4" t="s">
        <v>1723</v>
      </c>
      <c r="H120" s="4" t="s">
        <v>1724</v>
      </c>
      <c r="I120" s="4" t="s">
        <v>1725</v>
      </c>
      <c r="J120" s="4" t="s">
        <v>1705</v>
      </c>
    </row>
    <row r="121" spans="1:10" ht="48" customHeight="1">
      <c r="A121" s="4" t="s">
        <v>1726</v>
      </c>
      <c r="B121" s="4" t="s">
        <v>1287</v>
      </c>
      <c r="C121" s="4"/>
      <c r="D121" s="4" t="s">
        <v>1280</v>
      </c>
      <c r="E121" s="4" t="s">
        <v>157</v>
      </c>
      <c r="F121" s="4"/>
      <c r="G121" s="4" t="s">
        <v>1727</v>
      </c>
      <c r="H121" s="4" t="s">
        <v>1728</v>
      </c>
      <c r="I121" s="4" t="s">
        <v>1729</v>
      </c>
      <c r="J121" s="4" t="s">
        <v>1730</v>
      </c>
    </row>
    <row r="122" spans="1:10" ht="48" customHeight="1">
      <c r="A122" s="4" t="s">
        <v>1731</v>
      </c>
      <c r="B122" s="4" t="s">
        <v>1287</v>
      </c>
      <c r="C122" s="4"/>
      <c r="D122" s="4" t="s">
        <v>1280</v>
      </c>
      <c r="E122" s="4" t="s">
        <v>157</v>
      </c>
      <c r="F122" s="4"/>
      <c r="G122" s="4" t="s">
        <v>1732</v>
      </c>
      <c r="H122" s="4" t="s">
        <v>1733</v>
      </c>
      <c r="I122" s="4" t="s">
        <v>1734</v>
      </c>
      <c r="J122" s="4" t="s">
        <v>1705</v>
      </c>
    </row>
    <row r="123" spans="1:10" ht="48" customHeight="1">
      <c r="A123" s="4" t="s">
        <v>1735</v>
      </c>
      <c r="B123" s="4" t="s">
        <v>1287</v>
      </c>
      <c r="C123" s="4"/>
      <c r="D123" s="4" t="s">
        <v>1280</v>
      </c>
      <c r="E123" s="4" t="s">
        <v>191</v>
      </c>
      <c r="F123" s="4"/>
      <c r="G123" s="4" t="s">
        <v>1736</v>
      </c>
      <c r="H123" s="4" t="s">
        <v>1737</v>
      </c>
      <c r="I123" s="4" t="s">
        <v>1738</v>
      </c>
      <c r="J123" s="4" t="s">
        <v>1705</v>
      </c>
    </row>
    <row r="124" spans="1:10" ht="48" customHeight="1">
      <c r="A124" s="4" t="s">
        <v>1739</v>
      </c>
      <c r="B124" s="4" t="s">
        <v>1287</v>
      </c>
      <c r="C124" s="4"/>
      <c r="D124" s="4" t="s">
        <v>1280</v>
      </c>
      <c r="E124" s="4" t="s">
        <v>157</v>
      </c>
      <c r="F124" s="4"/>
      <c r="G124" s="4" t="s">
        <v>1740</v>
      </c>
      <c r="H124" s="4" t="s">
        <v>1741</v>
      </c>
      <c r="I124" s="4" t="s">
        <v>1742</v>
      </c>
      <c r="J124" s="4" t="s">
        <v>1705</v>
      </c>
    </row>
    <row r="125" spans="1:10" ht="48" customHeight="1">
      <c r="A125" s="4" t="s">
        <v>1743</v>
      </c>
      <c r="B125" s="4" t="s">
        <v>1287</v>
      </c>
      <c r="C125" s="4"/>
      <c r="D125" s="4" t="s">
        <v>1280</v>
      </c>
      <c r="E125" s="4" t="s">
        <v>191</v>
      </c>
      <c r="F125" s="4"/>
      <c r="G125" s="4" t="s">
        <v>1727</v>
      </c>
      <c r="H125" s="4" t="s">
        <v>1744</v>
      </c>
      <c r="I125" s="4" t="s">
        <v>1745</v>
      </c>
      <c r="J125" s="4" t="s">
        <v>1730</v>
      </c>
    </row>
    <row r="126" spans="1:10" ht="48" customHeight="1">
      <c r="A126" s="4" t="s">
        <v>1746</v>
      </c>
      <c r="B126" s="4" t="s">
        <v>1287</v>
      </c>
      <c r="C126" s="4"/>
      <c r="D126" s="4" t="s">
        <v>1280</v>
      </c>
      <c r="E126" s="4" t="s">
        <v>191</v>
      </c>
      <c r="F126" s="4"/>
      <c r="G126" s="4" t="s">
        <v>1747</v>
      </c>
      <c r="H126" s="4" t="s">
        <v>1748</v>
      </c>
      <c r="I126" s="4" t="s">
        <v>1749</v>
      </c>
      <c r="J126" s="4" t="s">
        <v>1750</v>
      </c>
    </row>
    <row r="127" spans="1:10" ht="48" customHeight="1">
      <c r="A127" s="4" t="s">
        <v>1751</v>
      </c>
      <c r="B127" s="4" t="s">
        <v>1287</v>
      </c>
      <c r="C127" s="4"/>
      <c r="D127" s="4" t="s">
        <v>1280</v>
      </c>
      <c r="E127" s="4" t="s">
        <v>191</v>
      </c>
      <c r="F127" s="4"/>
      <c r="G127" s="4" t="s">
        <v>1752</v>
      </c>
      <c r="H127" s="4" t="s">
        <v>1753</v>
      </c>
      <c r="I127" s="4" t="s">
        <v>1754</v>
      </c>
      <c r="J127" s="4" t="s">
        <v>1705</v>
      </c>
    </row>
    <row r="128" spans="1:10" ht="48" customHeight="1">
      <c r="A128" s="4" t="s">
        <v>1755</v>
      </c>
      <c r="B128" s="4" t="s">
        <v>1287</v>
      </c>
      <c r="C128" s="4"/>
      <c r="D128" s="4" t="s">
        <v>1280</v>
      </c>
      <c r="E128" s="4" t="s">
        <v>191</v>
      </c>
      <c r="F128" s="4" t="s">
        <v>32</v>
      </c>
      <c r="G128" s="4" t="s">
        <v>1727</v>
      </c>
      <c r="H128" s="4" t="s">
        <v>1756</v>
      </c>
      <c r="I128" s="4" t="s">
        <v>1757</v>
      </c>
      <c r="J128" s="4" t="s">
        <v>1758</v>
      </c>
    </row>
    <row r="129" spans="1:10" ht="48" customHeight="1">
      <c r="A129" s="4" t="s">
        <v>1759</v>
      </c>
      <c r="B129" s="4" t="s">
        <v>1287</v>
      </c>
      <c r="C129" s="4"/>
      <c r="D129" s="4" t="s">
        <v>1280</v>
      </c>
      <c r="E129" s="4" t="s">
        <v>191</v>
      </c>
      <c r="F129" s="4"/>
      <c r="G129" s="4" t="s">
        <v>1740</v>
      </c>
      <c r="H129" s="4" t="s">
        <v>1760</v>
      </c>
      <c r="I129" s="4" t="s">
        <v>1761</v>
      </c>
      <c r="J129" s="4" t="s">
        <v>1705</v>
      </c>
    </row>
    <row r="130" spans="1:10" ht="48" customHeight="1">
      <c r="A130" s="4" t="s">
        <v>1762</v>
      </c>
      <c r="B130" s="4" t="s">
        <v>1287</v>
      </c>
      <c r="C130" s="4"/>
      <c r="D130" s="4" t="s">
        <v>1280</v>
      </c>
      <c r="E130" s="4" t="s">
        <v>191</v>
      </c>
      <c r="F130" s="4"/>
      <c r="G130" s="4" t="s">
        <v>1763</v>
      </c>
      <c r="H130" s="4" t="s">
        <v>1764</v>
      </c>
      <c r="I130" s="4" t="s">
        <v>1765</v>
      </c>
      <c r="J130" s="4" t="s">
        <v>1705</v>
      </c>
    </row>
    <row r="131" spans="1:10" ht="48" customHeight="1">
      <c r="A131" s="4" t="s">
        <v>1766</v>
      </c>
      <c r="B131" s="4" t="s">
        <v>1287</v>
      </c>
      <c r="C131" s="4"/>
      <c r="D131" s="4" t="s">
        <v>1280</v>
      </c>
      <c r="E131" s="4" t="s">
        <v>191</v>
      </c>
      <c r="F131" s="4"/>
      <c r="G131" s="4" t="s">
        <v>1767</v>
      </c>
      <c r="H131" s="4" t="s">
        <v>1768</v>
      </c>
      <c r="I131" s="4" t="s">
        <v>1769</v>
      </c>
      <c r="J131" s="4" t="s">
        <v>1705</v>
      </c>
    </row>
    <row r="132" spans="1:10" ht="48" customHeight="1">
      <c r="A132" s="4" t="s">
        <v>1770</v>
      </c>
      <c r="B132" s="4" t="s">
        <v>1264</v>
      </c>
      <c r="C132" s="4"/>
      <c r="D132" s="4" t="s">
        <v>1280</v>
      </c>
      <c r="E132" s="4" t="s">
        <v>191</v>
      </c>
      <c r="F132" s="4"/>
      <c r="G132" s="4" t="s">
        <v>1771</v>
      </c>
      <c r="H132" s="4" t="s">
        <v>1748</v>
      </c>
      <c r="I132" s="4" t="s">
        <v>1772</v>
      </c>
      <c r="J132" s="4" t="s">
        <v>1705</v>
      </c>
    </row>
    <row r="133" spans="1:10" ht="48" customHeight="1">
      <c r="A133" s="4" t="s">
        <v>1773</v>
      </c>
      <c r="B133" s="4" t="s">
        <v>1264</v>
      </c>
      <c r="C133" s="4"/>
      <c r="D133" s="4" t="s">
        <v>1280</v>
      </c>
      <c r="E133" s="4" t="s">
        <v>191</v>
      </c>
      <c r="F133" s="4" t="s">
        <v>73</v>
      </c>
      <c r="G133" s="4" t="s">
        <v>1774</v>
      </c>
      <c r="H133" s="4" t="s">
        <v>1775</v>
      </c>
      <c r="I133" s="4" t="s">
        <v>1776</v>
      </c>
      <c r="J133" s="4" t="s">
        <v>1285</v>
      </c>
    </row>
    <row r="134" spans="1:10" ht="48" customHeight="1">
      <c r="A134" s="4" t="s">
        <v>1777</v>
      </c>
      <c r="B134" s="4" t="s">
        <v>1287</v>
      </c>
      <c r="C134" s="4"/>
      <c r="D134" s="4" t="s">
        <v>1280</v>
      </c>
      <c r="E134" s="4" t="s">
        <v>191</v>
      </c>
      <c r="F134" s="4"/>
      <c r="G134" s="4" t="s">
        <v>1778</v>
      </c>
      <c r="H134" s="4" t="s">
        <v>1779</v>
      </c>
      <c r="I134" s="4" t="s">
        <v>1780</v>
      </c>
      <c r="J134" s="4" t="s">
        <v>1705</v>
      </c>
    </row>
    <row r="135" spans="1:10" ht="48" customHeight="1">
      <c r="A135" s="4" t="s">
        <v>1781</v>
      </c>
      <c r="B135" s="4" t="s">
        <v>1287</v>
      </c>
      <c r="C135" s="4"/>
      <c r="D135" s="4" t="s">
        <v>1280</v>
      </c>
      <c r="E135" s="4" t="s">
        <v>191</v>
      </c>
      <c r="F135" s="4"/>
      <c r="G135" s="4" t="s">
        <v>1727</v>
      </c>
      <c r="H135" s="4" t="s">
        <v>1782</v>
      </c>
      <c r="I135" s="4" t="s">
        <v>1783</v>
      </c>
      <c r="J135" s="4" t="s">
        <v>1730</v>
      </c>
    </row>
    <row r="136" spans="1:10" ht="48" customHeight="1">
      <c r="A136" s="4" t="s">
        <v>1784</v>
      </c>
      <c r="B136" s="4" t="s">
        <v>1287</v>
      </c>
      <c r="C136" s="4"/>
      <c r="D136" s="4" t="s">
        <v>1280</v>
      </c>
      <c r="E136" s="4" t="s">
        <v>157</v>
      </c>
      <c r="F136" s="4"/>
      <c r="G136" s="4" t="s">
        <v>1785</v>
      </c>
      <c r="H136" s="4" t="s">
        <v>1786</v>
      </c>
      <c r="I136" s="4" t="s">
        <v>1787</v>
      </c>
      <c r="J136" s="4" t="s">
        <v>1705</v>
      </c>
    </row>
    <row r="137" spans="1:10" ht="48" customHeight="1">
      <c r="A137" s="4" t="s">
        <v>1788</v>
      </c>
      <c r="B137" s="4" t="s">
        <v>1287</v>
      </c>
      <c r="C137" s="4"/>
      <c r="D137" s="4" t="s">
        <v>1280</v>
      </c>
      <c r="E137" s="4" t="s">
        <v>191</v>
      </c>
      <c r="F137" s="4"/>
      <c r="G137" s="4" t="s">
        <v>1789</v>
      </c>
      <c r="H137" s="4" t="s">
        <v>1782</v>
      </c>
      <c r="I137" s="4" t="s">
        <v>1790</v>
      </c>
      <c r="J137" s="4" t="s">
        <v>1705</v>
      </c>
    </row>
    <row r="138" spans="1:10" ht="48" customHeight="1">
      <c r="A138" s="4" t="s">
        <v>1791</v>
      </c>
      <c r="B138" s="4" t="s">
        <v>1264</v>
      </c>
      <c r="C138" s="4"/>
      <c r="D138" s="4" t="s">
        <v>1280</v>
      </c>
      <c r="E138" s="4" t="s">
        <v>191</v>
      </c>
      <c r="F138" s="4"/>
      <c r="G138" s="4" t="s">
        <v>1792</v>
      </c>
      <c r="H138" s="4" t="s">
        <v>1748</v>
      </c>
      <c r="I138" s="4" t="s">
        <v>1793</v>
      </c>
      <c r="J138" s="4" t="s">
        <v>1705</v>
      </c>
    </row>
    <row r="139" spans="1:10" ht="48" customHeight="1">
      <c r="A139" s="4" t="s">
        <v>1794</v>
      </c>
      <c r="B139" s="4" t="s">
        <v>1264</v>
      </c>
      <c r="C139" s="4"/>
      <c r="D139" s="4" t="s">
        <v>1280</v>
      </c>
      <c r="E139" s="4" t="s">
        <v>191</v>
      </c>
      <c r="F139" s="4"/>
      <c r="G139" s="4" t="s">
        <v>1795</v>
      </c>
      <c r="H139" s="4" t="s">
        <v>1748</v>
      </c>
      <c r="I139" s="4" t="s">
        <v>1796</v>
      </c>
      <c r="J139" s="4" t="s">
        <v>1705</v>
      </c>
    </row>
    <row r="140" spans="1:10" ht="48" customHeight="1">
      <c r="A140" s="4" t="s">
        <v>1797</v>
      </c>
      <c r="B140" s="4" t="s">
        <v>1264</v>
      </c>
      <c r="C140" s="4"/>
      <c r="D140" s="4" t="s">
        <v>1280</v>
      </c>
      <c r="E140" s="4" t="s">
        <v>191</v>
      </c>
      <c r="F140" s="4"/>
      <c r="G140" s="4" t="s">
        <v>1798</v>
      </c>
      <c r="H140" s="4" t="s">
        <v>1748</v>
      </c>
      <c r="I140" s="4" t="s">
        <v>1799</v>
      </c>
      <c r="J140" s="4" t="s">
        <v>1705</v>
      </c>
    </row>
    <row r="141" spans="1:10" ht="48" customHeight="1">
      <c r="A141" s="4" t="s">
        <v>1800</v>
      </c>
      <c r="B141" s="4" t="s">
        <v>1287</v>
      </c>
      <c r="C141" s="4"/>
      <c r="D141" s="4" t="s">
        <v>1280</v>
      </c>
      <c r="E141" s="4" t="s">
        <v>191</v>
      </c>
      <c r="F141" s="4"/>
      <c r="G141" s="4" t="s">
        <v>1801</v>
      </c>
      <c r="H141" s="4" t="s">
        <v>1802</v>
      </c>
      <c r="I141" s="4" t="s">
        <v>1803</v>
      </c>
      <c r="J141" s="4" t="s">
        <v>1705</v>
      </c>
    </row>
    <row r="142" spans="1:10" ht="48" customHeight="1">
      <c r="A142" s="4" t="s">
        <v>1804</v>
      </c>
      <c r="B142" s="4" t="s">
        <v>1264</v>
      </c>
      <c r="C142" s="4"/>
      <c r="D142" s="4" t="s">
        <v>1280</v>
      </c>
      <c r="E142" s="4" t="s">
        <v>191</v>
      </c>
      <c r="F142" s="4"/>
      <c r="G142" s="4" t="s">
        <v>1727</v>
      </c>
      <c r="H142" s="4" t="s">
        <v>1748</v>
      </c>
      <c r="I142" s="4" t="s">
        <v>1805</v>
      </c>
      <c r="J142" s="4" t="s">
        <v>1730</v>
      </c>
    </row>
    <row r="143" spans="1:10" ht="48" customHeight="1">
      <c r="A143" s="4" t="s">
        <v>1806</v>
      </c>
      <c r="B143" s="4" t="s">
        <v>1287</v>
      </c>
      <c r="C143" s="4"/>
      <c r="D143" s="4" t="s">
        <v>1280</v>
      </c>
      <c r="E143" s="4" t="s">
        <v>191</v>
      </c>
      <c r="F143" s="4"/>
      <c r="G143" s="4" t="s">
        <v>1807</v>
      </c>
      <c r="H143" s="4" t="s">
        <v>1808</v>
      </c>
      <c r="I143" s="4" t="s">
        <v>1809</v>
      </c>
      <c r="J143" s="4" t="s">
        <v>1705</v>
      </c>
    </row>
    <row r="144" spans="1:10" ht="48" customHeight="1">
      <c r="A144" s="4" t="s">
        <v>1810</v>
      </c>
      <c r="B144" s="4" t="s">
        <v>1264</v>
      </c>
      <c r="C144" s="4"/>
      <c r="D144" s="4" t="s">
        <v>1280</v>
      </c>
      <c r="E144" s="4" t="s">
        <v>191</v>
      </c>
      <c r="F144" s="4"/>
      <c r="G144" s="4" t="s">
        <v>1811</v>
      </c>
      <c r="H144" s="4" t="s">
        <v>1748</v>
      </c>
      <c r="I144" s="4" t="s">
        <v>1812</v>
      </c>
      <c r="J144" s="4" t="s">
        <v>1705</v>
      </c>
    </row>
    <row r="145" spans="1:10" ht="48" customHeight="1">
      <c r="A145" s="4" t="s">
        <v>1813</v>
      </c>
      <c r="B145" s="4" t="s">
        <v>1264</v>
      </c>
      <c r="C145" s="4"/>
      <c r="D145" s="4" t="s">
        <v>1280</v>
      </c>
      <c r="E145" s="4" t="s">
        <v>191</v>
      </c>
      <c r="F145" s="4"/>
      <c r="G145" s="4" t="s">
        <v>1767</v>
      </c>
      <c r="H145" s="4" t="s">
        <v>1748</v>
      </c>
      <c r="I145" s="4" t="s">
        <v>1814</v>
      </c>
      <c r="J145" s="4" t="s">
        <v>1705</v>
      </c>
    </row>
    <row r="146" spans="1:10" ht="48" customHeight="1">
      <c r="A146" s="4" t="s">
        <v>1815</v>
      </c>
      <c r="B146" s="4" t="s">
        <v>1287</v>
      </c>
      <c r="C146" s="4"/>
      <c r="D146" s="4" t="s">
        <v>1280</v>
      </c>
      <c r="E146" s="4" t="s">
        <v>191</v>
      </c>
      <c r="F146" s="4"/>
      <c r="G146" s="4" t="s">
        <v>1816</v>
      </c>
      <c r="H146" s="4" t="s">
        <v>1817</v>
      </c>
      <c r="I146" s="4" t="s">
        <v>1818</v>
      </c>
      <c r="J146" s="4" t="s">
        <v>1705</v>
      </c>
    </row>
    <row r="147" spans="1:10" ht="48" customHeight="1">
      <c r="A147" s="4" t="s">
        <v>1819</v>
      </c>
      <c r="B147" s="4" t="s">
        <v>1287</v>
      </c>
      <c r="C147" s="4"/>
      <c r="D147" s="4" t="s">
        <v>1280</v>
      </c>
      <c r="E147" s="4" t="s">
        <v>191</v>
      </c>
      <c r="F147" s="4"/>
      <c r="G147" s="4" t="s">
        <v>1727</v>
      </c>
      <c r="H147" s="4" t="s">
        <v>1820</v>
      </c>
      <c r="I147" s="4" t="s">
        <v>1821</v>
      </c>
      <c r="J147" s="4" t="s">
        <v>1730</v>
      </c>
    </row>
    <row r="148" spans="1:10" ht="48" customHeight="1">
      <c r="A148" s="4" t="s">
        <v>1822</v>
      </c>
      <c r="B148" s="4" t="s">
        <v>1287</v>
      </c>
      <c r="C148" s="4"/>
      <c r="D148" s="4" t="s">
        <v>1280</v>
      </c>
      <c r="E148" s="4" t="s">
        <v>157</v>
      </c>
      <c r="F148" s="4" t="s">
        <v>1343</v>
      </c>
      <c r="G148" s="4" t="s">
        <v>1727</v>
      </c>
      <c r="H148" s="4" t="s">
        <v>1823</v>
      </c>
      <c r="I148" s="4" t="s">
        <v>1824</v>
      </c>
      <c r="J148" s="4" t="s">
        <v>1758</v>
      </c>
    </row>
    <row r="149" spans="1:10" ht="48" customHeight="1">
      <c r="A149" s="4" t="s">
        <v>1825</v>
      </c>
      <c r="B149" s="4" t="s">
        <v>1287</v>
      </c>
      <c r="C149" s="4"/>
      <c r="D149" s="4" t="s">
        <v>1280</v>
      </c>
      <c r="E149" s="4" t="s">
        <v>191</v>
      </c>
      <c r="F149" s="4"/>
      <c r="G149" s="4" t="s">
        <v>1826</v>
      </c>
      <c r="H149" s="4" t="s">
        <v>1744</v>
      </c>
      <c r="I149" s="4" t="s">
        <v>1827</v>
      </c>
      <c r="J149" s="4" t="s">
        <v>1705</v>
      </c>
    </row>
    <row r="150" spans="1:10" ht="48" customHeight="1">
      <c r="A150" s="4" t="s">
        <v>1828</v>
      </c>
      <c r="B150" s="4" t="s">
        <v>1287</v>
      </c>
      <c r="C150" s="4"/>
      <c r="D150" s="4" t="s">
        <v>1280</v>
      </c>
      <c r="E150" s="4" t="s">
        <v>191</v>
      </c>
      <c r="F150" s="4"/>
      <c r="G150" s="4" t="s">
        <v>1829</v>
      </c>
      <c r="H150" s="4" t="s">
        <v>1830</v>
      </c>
      <c r="I150" s="4" t="s">
        <v>1831</v>
      </c>
      <c r="J150" s="4" t="s">
        <v>1705</v>
      </c>
    </row>
    <row r="151" spans="1:10" ht="48" customHeight="1">
      <c r="A151" s="4" t="s">
        <v>1832</v>
      </c>
      <c r="B151" s="4" t="s">
        <v>1287</v>
      </c>
      <c r="C151" s="4"/>
      <c r="D151" s="4" t="s">
        <v>1280</v>
      </c>
      <c r="E151" s="4" t="s">
        <v>157</v>
      </c>
      <c r="F151" s="4"/>
      <c r="G151" s="4" t="s">
        <v>1727</v>
      </c>
      <c r="H151" s="4" t="s">
        <v>1833</v>
      </c>
      <c r="I151" s="4" t="s">
        <v>1834</v>
      </c>
      <c r="J151" s="4" t="s">
        <v>1730</v>
      </c>
    </row>
    <row r="152" spans="1:10" ht="48" customHeight="1">
      <c r="A152" s="4" t="s">
        <v>1835</v>
      </c>
      <c r="B152" s="4" t="s">
        <v>1287</v>
      </c>
      <c r="C152" s="4"/>
      <c r="D152" s="4" t="s">
        <v>1280</v>
      </c>
      <c r="E152" s="4" t="s">
        <v>191</v>
      </c>
      <c r="F152" s="4"/>
      <c r="G152" s="4" t="s">
        <v>1836</v>
      </c>
      <c r="H152" s="4" t="s">
        <v>1820</v>
      </c>
      <c r="I152" s="4" t="s">
        <v>1837</v>
      </c>
      <c r="J152" s="4" t="s">
        <v>1705</v>
      </c>
    </row>
    <row r="153" spans="1:10" ht="48" customHeight="1">
      <c r="A153" s="4" t="s">
        <v>1838</v>
      </c>
      <c r="B153" s="4" t="s">
        <v>1287</v>
      </c>
      <c r="C153" s="4"/>
      <c r="D153" s="4" t="s">
        <v>1280</v>
      </c>
      <c r="E153" s="4" t="s">
        <v>191</v>
      </c>
      <c r="F153" s="4"/>
      <c r="G153" s="4" t="s">
        <v>1839</v>
      </c>
      <c r="H153" s="4" t="s">
        <v>1744</v>
      </c>
      <c r="I153" s="4" t="s">
        <v>1840</v>
      </c>
      <c r="J153" s="4" t="s">
        <v>1705</v>
      </c>
    </row>
    <row r="154" spans="1:10" ht="48" customHeight="1">
      <c r="A154" s="4" t="s">
        <v>1841</v>
      </c>
      <c r="B154" s="4" t="s">
        <v>1264</v>
      </c>
      <c r="C154" s="4"/>
      <c r="D154" s="4" t="s">
        <v>1280</v>
      </c>
      <c r="E154" s="4" t="s">
        <v>191</v>
      </c>
      <c r="F154" s="4"/>
      <c r="G154" s="4" t="s">
        <v>1727</v>
      </c>
      <c r="H154" s="4" t="s">
        <v>1748</v>
      </c>
      <c r="I154" s="4" t="s">
        <v>1842</v>
      </c>
      <c r="J154" s="4" t="s">
        <v>1730</v>
      </c>
    </row>
    <row r="155" spans="1:10" ht="48" customHeight="1">
      <c r="A155" s="4" t="s">
        <v>1843</v>
      </c>
      <c r="B155" s="4" t="s">
        <v>1287</v>
      </c>
      <c r="C155" s="4"/>
      <c r="D155" s="4" t="s">
        <v>1280</v>
      </c>
      <c r="E155" s="4" t="s">
        <v>191</v>
      </c>
      <c r="F155" s="4"/>
      <c r="G155" s="4" t="s">
        <v>1844</v>
      </c>
      <c r="H155" s="4" t="s">
        <v>1820</v>
      </c>
      <c r="I155" s="4" t="s">
        <v>1845</v>
      </c>
      <c r="J155" s="4" t="s">
        <v>1705</v>
      </c>
    </row>
    <row r="156" spans="1:10" ht="48" customHeight="1">
      <c r="A156" s="4" t="s">
        <v>1846</v>
      </c>
      <c r="B156" s="4" t="s">
        <v>1287</v>
      </c>
      <c r="C156" s="4"/>
      <c r="D156" s="4" t="s">
        <v>1280</v>
      </c>
      <c r="E156" s="4" t="s">
        <v>191</v>
      </c>
      <c r="F156" s="4"/>
      <c r="G156" s="4" t="s">
        <v>1847</v>
      </c>
      <c r="H156" s="4" t="s">
        <v>1848</v>
      </c>
      <c r="I156" s="4" t="s">
        <v>1849</v>
      </c>
      <c r="J156" s="4" t="s">
        <v>1705</v>
      </c>
    </row>
    <row r="157" spans="1:10" ht="48" customHeight="1">
      <c r="A157" s="4" t="s">
        <v>1850</v>
      </c>
      <c r="B157" s="4" t="s">
        <v>1264</v>
      </c>
      <c r="C157" s="4"/>
      <c r="D157" s="4" t="s">
        <v>1280</v>
      </c>
      <c r="E157" s="4" t="s">
        <v>191</v>
      </c>
      <c r="F157" s="4"/>
      <c r="G157" s="4" t="s">
        <v>1851</v>
      </c>
      <c r="H157" s="4" t="s">
        <v>1852</v>
      </c>
      <c r="I157" s="4" t="s">
        <v>1853</v>
      </c>
      <c r="J157" s="4" t="s">
        <v>1705</v>
      </c>
    </row>
    <row r="158" spans="1:10" ht="48" customHeight="1">
      <c r="A158" s="4" t="s">
        <v>1854</v>
      </c>
      <c r="B158" s="4" t="s">
        <v>1264</v>
      </c>
      <c r="C158" s="4"/>
      <c r="D158" s="4" t="s">
        <v>1280</v>
      </c>
      <c r="E158" s="4" t="s">
        <v>191</v>
      </c>
      <c r="F158" s="4"/>
      <c r="G158" s="4" t="s">
        <v>1855</v>
      </c>
      <c r="H158" s="4" t="s">
        <v>1748</v>
      </c>
      <c r="I158" s="4" t="s">
        <v>1856</v>
      </c>
      <c r="J158" s="4" t="s">
        <v>1705</v>
      </c>
    </row>
    <row r="159" spans="1:10" ht="48" customHeight="1">
      <c r="A159" s="4" t="s">
        <v>1857</v>
      </c>
      <c r="B159" s="4" t="s">
        <v>1264</v>
      </c>
      <c r="C159" s="4"/>
      <c r="D159" s="4" t="s">
        <v>1280</v>
      </c>
      <c r="E159" s="4" t="s">
        <v>191</v>
      </c>
      <c r="F159" s="4"/>
      <c r="G159" s="4" t="s">
        <v>1858</v>
      </c>
      <c r="H159" s="4" t="s">
        <v>1859</v>
      </c>
      <c r="I159" s="4" t="s">
        <v>1860</v>
      </c>
      <c r="J159" s="4" t="s">
        <v>1705</v>
      </c>
    </row>
    <row r="160" spans="1:10" ht="48" customHeight="1">
      <c r="A160" s="4" t="s">
        <v>1861</v>
      </c>
      <c r="B160" s="4" t="s">
        <v>1264</v>
      </c>
      <c r="C160" s="4"/>
      <c r="D160" s="4" t="s">
        <v>1280</v>
      </c>
      <c r="E160" s="4" t="s">
        <v>191</v>
      </c>
      <c r="F160" s="4"/>
      <c r="G160" s="4" t="s">
        <v>1727</v>
      </c>
      <c r="H160" s="4" t="s">
        <v>1748</v>
      </c>
      <c r="I160" s="4" t="s">
        <v>1862</v>
      </c>
      <c r="J160" s="4" t="s">
        <v>1730</v>
      </c>
    </row>
    <row r="161" spans="1:10" ht="48" customHeight="1">
      <c r="A161" s="4" t="s">
        <v>1863</v>
      </c>
      <c r="B161" s="4" t="s">
        <v>1287</v>
      </c>
      <c r="C161" s="4"/>
      <c r="D161" s="4" t="s">
        <v>1280</v>
      </c>
      <c r="E161" s="4" t="s">
        <v>157</v>
      </c>
      <c r="F161" s="4"/>
      <c r="G161" s="4" t="s">
        <v>1864</v>
      </c>
      <c r="H161" s="4" t="s">
        <v>1865</v>
      </c>
      <c r="I161" s="4" t="s">
        <v>1866</v>
      </c>
      <c r="J161" s="4" t="s">
        <v>1705</v>
      </c>
    </row>
    <row r="162" spans="1:10" ht="48" customHeight="1">
      <c r="A162" s="4" t="s">
        <v>1867</v>
      </c>
      <c r="B162" s="4" t="s">
        <v>1287</v>
      </c>
      <c r="C162" s="4"/>
      <c r="D162" s="4" t="s">
        <v>1280</v>
      </c>
      <c r="E162" s="4" t="s">
        <v>157</v>
      </c>
      <c r="F162" s="4"/>
      <c r="G162" s="4" t="s">
        <v>1868</v>
      </c>
      <c r="H162" s="4" t="s">
        <v>1869</v>
      </c>
      <c r="I162" s="4" t="s">
        <v>1870</v>
      </c>
      <c r="J162" s="4" t="s">
        <v>1705</v>
      </c>
    </row>
    <row r="163" spans="1:10" ht="48" customHeight="1">
      <c r="A163" s="4" t="s">
        <v>866</v>
      </c>
      <c r="B163" s="4" t="s">
        <v>1287</v>
      </c>
      <c r="C163" s="4" t="s">
        <v>865</v>
      </c>
      <c r="D163" s="4" t="s">
        <v>1871</v>
      </c>
      <c r="E163" s="4" t="s">
        <v>191</v>
      </c>
      <c r="F163" s="4"/>
      <c r="G163" s="4"/>
      <c r="H163" s="4" t="s">
        <v>867</v>
      </c>
      <c r="I163" s="4" t="s">
        <v>864</v>
      </c>
      <c r="J163" s="4" t="s">
        <v>1872</v>
      </c>
    </row>
    <row r="164" spans="1:10" ht="48" customHeight="1">
      <c r="A164" s="4" t="s">
        <v>1873</v>
      </c>
      <c r="B164" s="4" t="s">
        <v>1287</v>
      </c>
      <c r="C164" s="4" t="s">
        <v>1874</v>
      </c>
      <c r="D164" s="4" t="s">
        <v>1280</v>
      </c>
      <c r="E164" s="4" t="s">
        <v>157</v>
      </c>
      <c r="F164" s="4"/>
      <c r="G164" s="4" t="s">
        <v>1662</v>
      </c>
      <c r="H164" s="4" t="s">
        <v>1875</v>
      </c>
      <c r="I164" s="4" t="s">
        <v>1876</v>
      </c>
      <c r="J164" s="4" t="s">
        <v>1877</v>
      </c>
    </row>
    <row r="165" spans="1:10" ht="48" customHeight="1">
      <c r="A165" s="4" t="s">
        <v>1878</v>
      </c>
      <c r="B165" s="4" t="s">
        <v>1287</v>
      </c>
      <c r="C165" s="4" t="s">
        <v>1879</v>
      </c>
      <c r="D165" s="4" t="s">
        <v>1280</v>
      </c>
      <c r="E165" s="4" t="s">
        <v>191</v>
      </c>
      <c r="F165" s="4"/>
      <c r="G165" s="4" t="s">
        <v>1662</v>
      </c>
      <c r="H165" s="4" t="s">
        <v>1880</v>
      </c>
      <c r="I165" s="4" t="s">
        <v>1881</v>
      </c>
      <c r="J165" s="4" t="s">
        <v>1877</v>
      </c>
    </row>
    <row r="166" spans="1:10" ht="48" customHeight="1">
      <c r="A166" s="4" t="s">
        <v>1882</v>
      </c>
      <c r="B166" s="4" t="s">
        <v>1287</v>
      </c>
      <c r="C166" s="4" t="s">
        <v>1883</v>
      </c>
      <c r="D166" s="4" t="s">
        <v>1280</v>
      </c>
      <c r="E166" s="4" t="s">
        <v>191</v>
      </c>
      <c r="F166" s="4"/>
      <c r="G166" s="4" t="s">
        <v>1662</v>
      </c>
      <c r="H166" s="4" t="s">
        <v>1884</v>
      </c>
      <c r="I166" s="4" t="s">
        <v>1885</v>
      </c>
      <c r="J166" s="4" t="s">
        <v>1877</v>
      </c>
    </row>
    <row r="167" spans="1:10" ht="48" customHeight="1">
      <c r="A167" s="4" t="s">
        <v>1886</v>
      </c>
      <c r="B167" s="4" t="s">
        <v>1287</v>
      </c>
      <c r="C167" s="4" t="s">
        <v>1887</v>
      </c>
      <c r="D167" s="4" t="s">
        <v>1280</v>
      </c>
      <c r="E167" s="4" t="s">
        <v>191</v>
      </c>
      <c r="F167" s="4"/>
      <c r="G167" s="4" t="s">
        <v>1662</v>
      </c>
      <c r="H167" s="4" t="s">
        <v>1888</v>
      </c>
      <c r="I167" s="4" t="s">
        <v>1889</v>
      </c>
      <c r="J167" s="4" t="s">
        <v>1877</v>
      </c>
    </row>
    <row r="168" spans="1:10" ht="48" customHeight="1">
      <c r="A168" s="4" t="s">
        <v>1886</v>
      </c>
      <c r="B168" s="4" t="s">
        <v>1287</v>
      </c>
      <c r="C168" s="4" t="s">
        <v>1887</v>
      </c>
      <c r="D168" s="4" t="s">
        <v>1644</v>
      </c>
      <c r="E168" s="4" t="s">
        <v>191</v>
      </c>
      <c r="F168" s="4"/>
      <c r="G168" s="4" t="s">
        <v>1890</v>
      </c>
      <c r="H168" s="4" t="s">
        <v>1888</v>
      </c>
      <c r="I168" s="4" t="s">
        <v>1889</v>
      </c>
      <c r="J168" s="4" t="s">
        <v>1646</v>
      </c>
    </row>
    <row r="169" spans="1:10" ht="48" customHeight="1">
      <c r="A169" s="4" t="s">
        <v>1891</v>
      </c>
      <c r="B169" s="4" t="s">
        <v>1264</v>
      </c>
      <c r="C169" s="4" t="s">
        <v>1013</v>
      </c>
      <c r="D169" s="4" t="s">
        <v>1280</v>
      </c>
      <c r="E169" s="4" t="s">
        <v>191</v>
      </c>
      <c r="F169" s="4"/>
      <c r="G169" s="4" t="s">
        <v>1662</v>
      </c>
      <c r="H169" s="4" t="s">
        <v>1892</v>
      </c>
      <c r="I169" s="4" t="s">
        <v>1893</v>
      </c>
      <c r="J169" s="4" t="s">
        <v>1877</v>
      </c>
    </row>
    <row r="170" spans="1:10" ht="48" customHeight="1">
      <c r="A170" s="4" t="s">
        <v>1894</v>
      </c>
      <c r="B170" s="4" t="s">
        <v>1287</v>
      </c>
      <c r="C170" s="4" t="s">
        <v>1895</v>
      </c>
      <c r="D170" s="4" t="s">
        <v>1280</v>
      </c>
      <c r="E170" s="4" t="s">
        <v>191</v>
      </c>
      <c r="F170" s="4"/>
      <c r="G170" s="4" t="s">
        <v>1662</v>
      </c>
      <c r="H170" s="4" t="s">
        <v>1896</v>
      </c>
      <c r="I170" s="4" t="s">
        <v>1897</v>
      </c>
      <c r="J170" s="4" t="s">
        <v>1877</v>
      </c>
    </row>
    <row r="171" spans="1:10" ht="48" customHeight="1">
      <c r="A171" s="4" t="s">
        <v>1898</v>
      </c>
      <c r="B171" s="4" t="s">
        <v>1264</v>
      </c>
      <c r="C171" s="4" t="s">
        <v>879</v>
      </c>
      <c r="D171" s="4" t="s">
        <v>1280</v>
      </c>
      <c r="E171" s="4" t="s">
        <v>191</v>
      </c>
      <c r="F171" s="4" t="s">
        <v>92</v>
      </c>
      <c r="G171" s="4" t="s">
        <v>1662</v>
      </c>
      <c r="H171" s="4" t="s">
        <v>1899</v>
      </c>
      <c r="I171" s="4" t="s">
        <v>1900</v>
      </c>
      <c r="J171" s="4" t="s">
        <v>1877</v>
      </c>
    </row>
    <row r="172" spans="1:10" ht="48" customHeight="1">
      <c r="A172" s="4" t="s">
        <v>1901</v>
      </c>
      <c r="B172" s="4" t="s">
        <v>1902</v>
      </c>
      <c r="C172" s="4" t="s">
        <v>1903</v>
      </c>
      <c r="D172" s="4" t="s">
        <v>1280</v>
      </c>
      <c r="E172" s="4" t="s">
        <v>157</v>
      </c>
      <c r="F172" s="4" t="s">
        <v>56</v>
      </c>
      <c r="G172" s="4" t="s">
        <v>1662</v>
      </c>
      <c r="H172" s="4" t="s">
        <v>1904</v>
      </c>
      <c r="I172" s="4" t="s">
        <v>1905</v>
      </c>
      <c r="J172" s="4" t="s">
        <v>1877</v>
      </c>
    </row>
    <row r="173" spans="1:10" ht="48" customHeight="1">
      <c r="A173" s="4" t="s">
        <v>1906</v>
      </c>
      <c r="B173" s="4" t="s">
        <v>1287</v>
      </c>
      <c r="C173" s="4" t="s">
        <v>1907</v>
      </c>
      <c r="D173" s="4" t="s">
        <v>1280</v>
      </c>
      <c r="E173" s="4" t="s">
        <v>191</v>
      </c>
      <c r="F173" s="4"/>
      <c r="G173" s="4" t="s">
        <v>1662</v>
      </c>
      <c r="H173" s="4" t="s">
        <v>1908</v>
      </c>
      <c r="I173" s="4" t="s">
        <v>1909</v>
      </c>
      <c r="J173" s="4" t="s">
        <v>1910</v>
      </c>
    </row>
    <row r="174" spans="1:10" ht="48" customHeight="1">
      <c r="A174" s="4" t="s">
        <v>1911</v>
      </c>
      <c r="B174" s="4" t="s">
        <v>1264</v>
      </c>
      <c r="C174" s="4" t="s">
        <v>743</v>
      </c>
      <c r="D174" s="4" t="s">
        <v>1280</v>
      </c>
      <c r="E174" s="4" t="s">
        <v>191</v>
      </c>
      <c r="F174" s="4" t="s">
        <v>56</v>
      </c>
      <c r="G174" s="4" t="s">
        <v>1662</v>
      </c>
      <c r="H174" s="4" t="s">
        <v>1912</v>
      </c>
      <c r="I174" s="4" t="s">
        <v>1913</v>
      </c>
      <c r="J174" s="4" t="s">
        <v>1877</v>
      </c>
    </row>
    <row r="175" spans="1:10" ht="48" customHeight="1">
      <c r="A175" s="4" t="s">
        <v>1914</v>
      </c>
      <c r="B175" s="4" t="s">
        <v>1287</v>
      </c>
      <c r="C175" s="4" t="s">
        <v>1915</v>
      </c>
      <c r="D175" s="4" t="s">
        <v>1280</v>
      </c>
      <c r="E175" s="4" t="s">
        <v>191</v>
      </c>
      <c r="F175" s="4" t="s">
        <v>1327</v>
      </c>
      <c r="G175" s="4" t="s">
        <v>1662</v>
      </c>
      <c r="H175" s="4" t="s">
        <v>1916</v>
      </c>
      <c r="I175" s="4" t="s">
        <v>1917</v>
      </c>
      <c r="J175" s="4" t="s">
        <v>1877</v>
      </c>
    </row>
    <row r="176" spans="1:10" ht="48" customHeight="1">
      <c r="A176" s="4" t="s">
        <v>1918</v>
      </c>
      <c r="B176" s="4" t="s">
        <v>1287</v>
      </c>
      <c r="C176" s="4" t="s">
        <v>1919</v>
      </c>
      <c r="D176" s="4" t="s">
        <v>1280</v>
      </c>
      <c r="E176" s="4" t="s">
        <v>191</v>
      </c>
      <c r="F176" s="4" t="s">
        <v>531</v>
      </c>
      <c r="G176" s="4" t="s">
        <v>1662</v>
      </c>
      <c r="H176" s="4" t="s">
        <v>1920</v>
      </c>
      <c r="I176" s="4" t="s">
        <v>1921</v>
      </c>
      <c r="J176" s="4" t="s">
        <v>1877</v>
      </c>
    </row>
    <row r="177" spans="1:10" ht="48" customHeight="1">
      <c r="A177" s="4" t="s">
        <v>1922</v>
      </c>
      <c r="B177" s="4" t="s">
        <v>1287</v>
      </c>
      <c r="C177" s="4" t="s">
        <v>1923</v>
      </c>
      <c r="D177" s="4" t="s">
        <v>1280</v>
      </c>
      <c r="E177" s="4" t="s">
        <v>157</v>
      </c>
      <c r="F177" s="4" t="s">
        <v>1343</v>
      </c>
      <c r="G177" s="4" t="s">
        <v>1662</v>
      </c>
      <c r="H177" s="4" t="s">
        <v>1924</v>
      </c>
      <c r="I177" s="4" t="s">
        <v>1925</v>
      </c>
      <c r="J177" s="4" t="s">
        <v>1877</v>
      </c>
    </row>
    <row r="178" spans="1:10" ht="48" customHeight="1">
      <c r="A178" s="4" t="s">
        <v>1226</v>
      </c>
      <c r="B178" s="4" t="s">
        <v>1287</v>
      </c>
      <c r="C178" s="4" t="s">
        <v>1225</v>
      </c>
      <c r="D178" s="4" t="s">
        <v>1871</v>
      </c>
      <c r="E178" s="4" t="s">
        <v>157</v>
      </c>
      <c r="F178" s="4"/>
      <c r="G178" s="4"/>
      <c r="H178" s="4" t="s">
        <v>1227</v>
      </c>
      <c r="I178" s="4" t="s">
        <v>1224</v>
      </c>
      <c r="J178" s="4" t="s">
        <v>1872</v>
      </c>
    </row>
    <row r="179" spans="1:10" ht="48" customHeight="1">
      <c r="A179" s="4" t="s">
        <v>1926</v>
      </c>
      <c r="B179" s="4" t="s">
        <v>1287</v>
      </c>
      <c r="C179" s="4" t="s">
        <v>1927</v>
      </c>
      <c r="D179" s="4" t="s">
        <v>1280</v>
      </c>
      <c r="E179" s="4" t="s">
        <v>191</v>
      </c>
      <c r="F179" s="4"/>
      <c r="G179" s="4" t="s">
        <v>1662</v>
      </c>
      <c r="H179" s="4" t="s">
        <v>1928</v>
      </c>
      <c r="I179" s="4" t="s">
        <v>1929</v>
      </c>
      <c r="J179" s="4" t="s">
        <v>1877</v>
      </c>
    </row>
    <row r="180" spans="1:10" ht="48" customHeight="1">
      <c r="A180" s="4" t="s">
        <v>1930</v>
      </c>
      <c r="B180" s="4" t="s">
        <v>1287</v>
      </c>
      <c r="C180" s="4" t="s">
        <v>1931</v>
      </c>
      <c r="D180" s="4" t="s">
        <v>1280</v>
      </c>
      <c r="E180" s="4" t="s">
        <v>191</v>
      </c>
      <c r="F180" s="4"/>
      <c r="G180" s="4" t="s">
        <v>1932</v>
      </c>
      <c r="H180" s="4" t="s">
        <v>1933</v>
      </c>
      <c r="I180" s="4" t="s">
        <v>1934</v>
      </c>
      <c r="J180" s="4" t="s">
        <v>1672</v>
      </c>
    </row>
    <row r="181" spans="1:10" ht="48" customHeight="1">
      <c r="A181" s="4" t="s">
        <v>1935</v>
      </c>
      <c r="B181" s="4" t="s">
        <v>1287</v>
      </c>
      <c r="C181" s="4" t="s">
        <v>1021</v>
      </c>
      <c r="D181" s="4" t="s">
        <v>1280</v>
      </c>
      <c r="E181" s="4" t="s">
        <v>191</v>
      </c>
      <c r="F181" s="4"/>
      <c r="G181" s="4" t="s">
        <v>1662</v>
      </c>
      <c r="H181" s="4" t="s">
        <v>1936</v>
      </c>
      <c r="I181" s="4" t="s">
        <v>1937</v>
      </c>
      <c r="J181" s="4" t="s">
        <v>1877</v>
      </c>
    </row>
    <row r="182" spans="1:10" ht="48" customHeight="1">
      <c r="A182" s="4" t="s">
        <v>375</v>
      </c>
      <c r="B182" s="4" t="s">
        <v>1287</v>
      </c>
      <c r="C182" s="4" t="s">
        <v>374</v>
      </c>
      <c r="D182" s="4" t="s">
        <v>1871</v>
      </c>
      <c r="E182" s="4" t="s">
        <v>191</v>
      </c>
      <c r="F182" s="4"/>
      <c r="G182" s="4"/>
      <c r="H182" s="4" t="s">
        <v>376</v>
      </c>
      <c r="I182" s="4" t="s">
        <v>373</v>
      </c>
      <c r="J182" s="4" t="s">
        <v>1872</v>
      </c>
    </row>
    <row r="183" spans="1:10" ht="48" customHeight="1">
      <c r="A183" s="4" t="s">
        <v>1218</v>
      </c>
      <c r="B183" s="4" t="s">
        <v>1287</v>
      </c>
      <c r="C183" s="4" t="s">
        <v>1217</v>
      </c>
      <c r="D183" s="4" t="s">
        <v>1938</v>
      </c>
      <c r="E183" s="4" t="s">
        <v>191</v>
      </c>
      <c r="F183" s="4" t="s">
        <v>228</v>
      </c>
      <c r="G183" s="4" t="s">
        <v>1939</v>
      </c>
      <c r="H183" s="4" t="s">
        <v>1219</v>
      </c>
      <c r="I183" s="4" t="s">
        <v>1216</v>
      </c>
      <c r="J183" s="4" t="s">
        <v>1940</v>
      </c>
    </row>
    <row r="184" spans="1:10" ht="57" customHeight="1">
      <c r="A184" s="6" t="s">
        <v>1941</v>
      </c>
      <c r="B184" s="6" t="s">
        <v>1287</v>
      </c>
      <c r="C184" s="6" t="s">
        <v>1942</v>
      </c>
      <c r="D184" s="6" t="s">
        <v>1280</v>
      </c>
      <c r="E184" s="4" t="s">
        <v>157</v>
      </c>
      <c r="F184" s="4" t="s">
        <v>228</v>
      </c>
      <c r="G184" s="6" t="s">
        <v>1662</v>
      </c>
      <c r="H184" s="6" t="s">
        <v>1943</v>
      </c>
      <c r="I184" s="6" t="s">
        <v>1944</v>
      </c>
      <c r="J184" s="6" t="s">
        <v>1877</v>
      </c>
    </row>
  </sheetData>
  <pageMargins left="0.7" right="0.7" top="0.75" bottom="0.75" header="0.3" footer="0.3"/>
  <headerFooter>
    <oddFooter>&amp;R_x000D_&amp;1#&amp;"Aptos"&amp;8&amp;K000000 Cisco Confidential</oddFooter>
  </headerFooter>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147D28084EEC4E85B562EBF79EE9C8" ma:contentTypeVersion="13" ma:contentTypeDescription="Create a new document." ma:contentTypeScope="" ma:versionID="bb55966b4aa767da77aa65729de76868">
  <xsd:schema xmlns:xsd="http://www.w3.org/2001/XMLSchema" xmlns:xs="http://www.w3.org/2001/XMLSchema" xmlns:p="http://schemas.microsoft.com/office/2006/metadata/properties" xmlns:ns2="d62a8e25-a403-45b3-ab4e-09212466b50f" xmlns:ns3="7b7552dd-56e3-4451-b11b-f09dfc300dce" targetNamespace="http://schemas.microsoft.com/office/2006/metadata/properties" ma:root="true" ma:fieldsID="a0763366c10c017d7920e78fba9521d6" ns2:_="" ns3:_="">
    <xsd:import namespace="d62a8e25-a403-45b3-ab4e-09212466b50f"/>
    <xsd:import namespace="7b7552dd-56e3-4451-b11b-f09dfc300d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2a8e25-a403-45b3-ab4e-09212466b5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b7552dd-56e3-4451-b11b-f09dfc300dc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00d40d-9a1f-454d-a907-b83be81a8cd3}" ma:internalName="TaxCatchAll" ma:showField="CatchAllData" ma:web="7b7552dd-56e3-4451-b11b-f09dfc300d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b7552dd-56e3-4451-b11b-f09dfc300dce" xsi:nil="true"/>
    <lcf76f155ced4ddcb4097134ff3c332f xmlns="d62a8e25-a403-45b3-ab4e-09212466b50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118FBF-4BF0-4CB6-A016-5359B5A5FD17}"/>
</file>

<file path=customXml/itemProps2.xml><?xml version="1.0" encoding="utf-8"?>
<ds:datastoreItem xmlns:ds="http://schemas.openxmlformats.org/officeDocument/2006/customXml" ds:itemID="{9AFD61E4-A0B4-4B8C-9DAB-3B2CC8FF6B9D}"/>
</file>

<file path=customXml/itemProps3.xml><?xml version="1.0" encoding="utf-8"?>
<ds:datastoreItem xmlns:ds="http://schemas.openxmlformats.org/officeDocument/2006/customXml" ds:itemID="{9D4FA99E-E1D6-4E3B-8FE2-BCED697EB1F5}"/>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2026-08-05T18:29:42Z</dcterms:created>
  <dcterms:modified xsi:type="dcterms:W3CDTF">2026-10-20T17:24:29Z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0x01010016147D28084EEC4E85B562EBF79EE9C8</vt:lpwstr>
  </property>
  <property fmtid="{D5CDD505-2E9C-101B-9397-08002B2CF9AE}" pid="3" name="MediaServiceImageTags">
    <vt:lpwstr/>
  </property>
</Properties>
</file>