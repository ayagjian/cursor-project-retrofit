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yagjian/Desktop/Cursor Project Retrofit/"/>
    </mc:Choice>
  </mc:AlternateContent>
  <xr:revisionPtr revIDLastSave="0" documentId="13_ncr:1_{86142144-A210-0940-B19A-A4EE8DAB19AD}" xr6:coauthVersionLast="47" xr6:coauthVersionMax="47" xr10:uidLastSave="{00000000-0000-0000-0000-000000000000}"/>
  <bookViews>
    <workbookView xWindow="3320" yWindow="560" windowWidth="29060" windowHeight="15740" xr2:uid="{00000000-000D-0000-FFFF-FFFF00000000}"/>
  </bookViews>
  <sheets>
    <sheet name="Workmanship Results" sheetId="1" r:id="rId1"/>
    <sheet name="Defect Code List" sheetId="2" state="hidden" r:id="rId2"/>
  </sheets>
  <definedNames>
    <definedName name="DefectCodeOptions">'Defect Code List'!$A$2:$A$15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7" i="1" l="1"/>
  <c r="L366" i="1"/>
  <c r="L365" i="1"/>
  <c r="L364" i="1"/>
  <c r="L363" i="1"/>
  <c r="L362" i="1"/>
  <c r="L361" i="1"/>
  <c r="L360" i="1"/>
  <c r="L359" i="1"/>
  <c r="L358" i="1"/>
  <c r="L357" i="1"/>
  <c r="L356" i="1"/>
  <c r="L355" i="1"/>
  <c r="L354" i="1"/>
  <c r="L353" i="1"/>
  <c r="L352" i="1"/>
  <c r="L351" i="1"/>
  <c r="L343" i="1"/>
  <c r="L342" i="1"/>
  <c r="L340" i="1"/>
  <c r="L294" i="1"/>
  <c r="L293" i="1"/>
  <c r="L292" i="1"/>
  <c r="L290" i="1"/>
  <c r="L246" i="1"/>
  <c r="L237" i="1"/>
  <c r="L233" i="1"/>
  <c r="L189" i="1"/>
  <c r="L182" i="1"/>
  <c r="L165" i="1"/>
  <c r="L158" i="1"/>
  <c r="L157" i="1"/>
  <c r="L156" i="1"/>
  <c r="L155" i="1"/>
  <c r="L154" i="1"/>
  <c r="L153" i="1"/>
  <c r="L152" i="1"/>
  <c r="L150"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91" i="1"/>
  <c r="L73" i="1"/>
  <c r="L62"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6" i="1"/>
  <c r="L25" i="1"/>
  <c r="L24" i="1"/>
  <c r="L23" i="1"/>
  <c r="L22" i="1"/>
  <c r="L21" i="1"/>
  <c r="L20" i="1"/>
  <c r="L18" i="1"/>
  <c r="L17" i="1"/>
  <c r="L16" i="1"/>
  <c r="L15" i="1"/>
  <c r="L14" i="1"/>
  <c r="L13" i="1"/>
  <c r="L12" i="1"/>
  <c r="L11" i="1"/>
  <c r="L10" i="1"/>
  <c r="L9" i="1"/>
  <c r="L8" i="1"/>
  <c r="L6" i="1"/>
  <c r="L5" i="1"/>
  <c r="L4" i="1"/>
  <c r="L3" i="1"/>
  <c r="L2" i="1"/>
</calcChain>
</file>

<file path=xl/sharedStrings.xml><?xml version="1.0" encoding="utf-8"?>
<sst xmlns="http://schemas.openxmlformats.org/spreadsheetml/2006/main" count="4088" uniqueCount="1274">
  <si>
    <t>Failure Mode</t>
  </si>
  <si>
    <t>Failure Code</t>
  </si>
  <si>
    <t>Business Unit</t>
  </si>
  <si>
    <t>PID / Product family</t>
  </si>
  <si>
    <t>CPN</t>
  </si>
  <si>
    <t>Serial Number</t>
  </si>
  <si>
    <t>Brief Description</t>
  </si>
  <si>
    <t>Determined Corrective Action</t>
  </si>
  <si>
    <t>Manufacturer Site</t>
  </si>
  <si>
    <t>Number of Failed Units</t>
  </si>
  <si>
    <t>Total Units Built</t>
  </si>
  <si>
    <t>Failure Rate %</t>
  </si>
  <si>
    <t>Source Case Number</t>
  </si>
  <si>
    <t>Source Date / Week</t>
  </si>
  <si>
    <t>Status</t>
  </si>
  <si>
    <t>Source Report Type</t>
  </si>
  <si>
    <t>Source Location</t>
  </si>
  <si>
    <t>Record ID</t>
  </si>
  <si>
    <t>Evidence</t>
  </si>
  <si>
    <t>Confidence</t>
  </si>
  <si>
    <t>Derivation / Conflict Notes</t>
  </si>
  <si>
    <t>Process Error</t>
  </si>
  <si>
    <t>Wrong Component / Part</t>
  </si>
  <si>
    <t>SRGBU</t>
  </si>
  <si>
    <t>C8500-12X; CAT8500 Ramones</t>
  </si>
  <si>
    <t>15-104975-04</t>
  </si>
  <si>
    <t>FCB2813S03E
FCB2813S049</t>
  </si>
  <si>
    <t>Factory-caused issue under review: Built with mixed AVL on CPN: 15-104975-04. Impacted work order</t>
  </si>
  <si>
    <t>prevent mixed AVL per detail in PCAMAP for SRGBU / WNBU. No units escaped</t>
  </si>
  <si>
    <t>NCB — Fabrinet</t>
  </si>
  <si>
    <t>APD-1110</t>
  </si>
  <si>
    <t>Failure % in report</t>
  </si>
  <si>
    <t>SCQO</t>
  </si>
  <si>
    <t>SCQO REPORT 01-01-24 to 07-21-26.xlsx | Sheet1 | row 104</t>
  </si>
  <si>
    <t>RFA-000009</t>
  </si>
  <si>
    <t>Source mode: EMS Partner/BTS:Man; Root-cause code: EMS Partner/BTS(No/Inadequate Communication); Root cause: What?: Ramones built with mixed AVL (Samsung + Micron) issue, which cannot have mixed AVL. PIDs impacted: C8500-12X (Ramones) QTY impacted: 2 boards / 56 boards (Failure rate 3.57%) CPN: 15-104975-04; &lt;br/&gt;@[email-red...</t>
  </si>
  <si>
    <t>High</t>
  </si>
  <si>
    <t>Failed units derived from one clearly labeled SCQO narrative quantity.; Total units derived from one clearly labeled SCQO narrative quantity.; Source provides manufacturer but no approved site.</t>
  </si>
  <si>
    <t>Assembly</t>
  </si>
  <si>
    <t>Solder</t>
  </si>
  <si>
    <t>IOTBU</t>
  </si>
  <si>
    <t>Petra</t>
  </si>
  <si>
    <t>73-101291</t>
  </si>
  <si>
    <t>Solder: component misalignment &amp; insufficient solder</t>
  </si>
  <si>
    <t>trained operator. QE and PE conduct online aduits for the operators twice a week. Check the smoothness of the track flow board to avoid touching the edge component when push the board.</t>
  </si>
  <si>
    <t>FVN — Foxconn</t>
  </si>
  <si>
    <t>WK10 Q1FY25</t>
  </si>
  <si>
    <t>Total # in report</t>
  </si>
  <si>
    <t>PPR Report</t>
  </si>
  <si>
    <t>PPR REPORT _ FVN IOTBU.xlsx | ICT Action Tracking | row 2</t>
  </si>
  <si>
    <t>RFA-000011</t>
  </si>
  <si>
    <t>Root cause: 1.This is a LED at board edge of bottom side with the component misalignment and insufficient solder issue, AOI covered but skipped by OP. 2.Check the AOI image showed that the solder paste of the component has been t...</t>
  </si>
  <si>
    <t>Quarter-end sort date: 2024-10-26; Manufacturer site from report context.; Parent Failed Qty used because this is the group's only populated issue.</t>
  </si>
  <si>
    <t>73-101294</t>
  </si>
  <si>
    <t>Solder: Open Solder @CR2*1pc TBD*1pc. Feeder not stable and AOI parameter required adjustment</t>
  </si>
  <si>
    <t>To ensure feeder stability, the LEDs must use professional feeders with shrapnel. Adjust the AOI parameter from the 140um to 120um ,which can cover the defect.</t>
  </si>
  <si>
    <t>WK13 Q1FY25</t>
  </si>
  <si>
    <t>PPR REPORT _ FVN IOTBU.xlsx | ICT Action Tracking | row 6</t>
  </si>
  <si>
    <t>RFA-000012</t>
  </si>
  <si>
    <t>Root cause: CR2 open solder 1.B side LED open solder,AOI didn't cover. 2. Check the AOI image showed that the the component was slightly offset. 3.Check SPI data, it is under control. 4.It was analyzed that the feeder was unstabl...</t>
  </si>
  <si>
    <t>Quarter-end sort date: 2024-10-26; Manufacturer site from report context.; Issue quantity parsed from defect-specific narrative.</t>
  </si>
  <si>
    <t>73-14852-03; 4400ISR</t>
  </si>
  <si>
    <t>11-3250-01</t>
  </si>
  <si>
    <t xml:space="preserve">Mechanical: Panasonic capacitors EEEFK1K151AQ electrolyte leakage after SMT reflow. </t>
  </si>
  <si>
    <t>optimize SMT profile to meet supplier requirements. The actual reflow profile exceeded supplier recommendation, the duration of 160 is longer than the cap can stand</t>
  </si>
  <si>
    <t>FOL — Foxconn</t>
  </si>
  <si>
    <t>MY-1785</t>
  </si>
  <si>
    <t>SCQO REPORT 01-01-24 to 07-21-26.xlsx | Sheet1 | row 88</t>
  </si>
  <si>
    <t>RFA-000013</t>
  </si>
  <si>
    <t>Source mode: EMS Partner/BTS:Method; Root-cause code: EMS Partner/BTS(No/Wrong/Inadequate Documentation/Specification/Procedure/Work Instruction); Root cause: What?: FOL SRGBU found Panasonic capacitors electrolyte leakage after SMT reflow. Failure rate:100%(9/9). FOL built with the other supplier capacitors in same production line at the same time, but no same issue. Check...</t>
  </si>
  <si>
    <t>Failed units derived from one clearly labeled SCQO narrative quantity.; Competing labeled narrative total quantities: 9; 149; Source provides manufacturer but no approved site.; Total units unavailable; failure rate left blank.</t>
  </si>
  <si>
    <t>Test Configuration</t>
  </si>
  <si>
    <t>EPA-QSFP-1X100GE; ASR1000</t>
  </si>
  <si>
    <t>FXS2403Q1WB, FOX2815P3PE, FXS2317Q0EC</t>
  </si>
  <si>
    <t>Test Escapee: NCB failing to record PCBP2, cesium gateway catched but allow pass FVMI.</t>
  </si>
  <si>
    <t>Low risk on test escapee for PCB2C referring historical data and monitoring for 1 quarter.</t>
  </si>
  <si>
    <t>TPD-1101</t>
  </si>
  <si>
    <t>SCQO REPORT 01-01-24 to 07-21-26.xlsx | Sheet1 | row 83</t>
  </si>
  <si>
    <t>RFA-000014</t>
  </si>
  <si>
    <t>Source mode: EMS Partner/BTS:Method; Root-cause code: EMS Partner/BTS(No/Improper Process Control); Root cause: What?: - There are 3 SN from SRGBU (Orthrus-QSFP-1X100) were found out that tested PCBP2 but skipped PCB2C and PCBVF and shipped to customer. SN: FCB2827W00V (Parent SN: FXS2403Q1WB), SN: FCB2824W0AD (Parent SN: FOX28...</t>
  </si>
  <si>
    <t>Failed units derived from one clearly labeled SCQO narrative quantity.; Source provides manufacturer but no approved site.; Total units unavailable; failure rate left blank.</t>
  </si>
  <si>
    <t>Operator</t>
  </si>
  <si>
    <t>Wrong SW</t>
  </si>
  <si>
    <t>C8530-12X; CAT8530  Allocade</t>
  </si>
  <si>
    <t>Factory-caused issue: ICT EEPROM wrong programming.</t>
  </si>
  <si>
    <t>ICT program wrong EEPROM (Hardware Version) on MB. data difference had shown the result as 1 and highlighted as red cell, but Engineer was confused with CRCs row check.</t>
  </si>
  <si>
    <t>APD-1121</t>
  </si>
  <si>
    <t>SCQO REPORT 01-01-24 to 07-21-26.xlsx | Sheet1 | row 66</t>
  </si>
  <si>
    <t>RFA-000019</t>
  </si>
  <si>
    <t>Source mode: EMS Partner/BTS:Man; Root-cause code: EMS Partner/BTS(Human Error (mishandling, improper handling, fatigue/tired, etc.)); Root cause: What?: 1.SRGBU Accolade MB 73-21143-03 A0 ICT EEPROM wrong programming. 2. SRGBU Kahuna 73-16562-08_B0 missed 51pcs delivery commit due to ICT programming misses at blank IC PN 15-10378-02 refer DA No D601686.; &lt;br/&gt;@...</t>
  </si>
  <si>
    <t>73-101947</t>
  </si>
  <si>
    <t>Solder: Solder Bridge*3pcs ( CR1,CR3,CR6) PN: 25-100310-01 is LED component. Open Solder@CR7*1pc</t>
  </si>
  <si>
    <t>Sent the abnormal feeder (YQ08080Y20056) for repair and maintenance,  trained operator</t>
  </si>
  <si>
    <t>WK6 Q4FY25</t>
  </si>
  <si>
    <t>PPR REPORT _ FVN IOTBU.xlsx | ICT Action Tracking | row 8</t>
  </si>
  <si>
    <t>RFA-000025</t>
  </si>
  <si>
    <t>Root cause: 25-100310-01 is LED component. 1. It was analyzed that the feeder was unstable, which caused pick up offset after the reflow. 2. AOI covered but skipped by OP.</t>
  </si>
  <si>
    <t>Quarter-end sort date: 2025-07-26; Failed units derived from summed defect-specific ICT issue quantities.; Manufacturer site from report context.; Parent Failed Qty was not allocated across multiple issue rows.</t>
  </si>
  <si>
    <t>Missing Component / Part</t>
  </si>
  <si>
    <t>Missing Component / Part: DAMAGED COMPONENT@CR4*1pc</t>
  </si>
  <si>
    <t>Retrain operators to follow PCBA handling procedures to avoid component damage  Issue a Blue-Q at both the PTH and VI stations to remind operators to carefully inspect LED components (including CR4).</t>
  </si>
  <si>
    <t>PPR REPORT _ FVN IOTBU.xlsx | ICT Action Tracking | row 9</t>
  </si>
  <si>
    <t>RFA-000026</t>
  </si>
  <si>
    <t>Root cause: 1. CR4 is located on the bottom side (BOT). 2. According to the SN station records, the unit failed ICT testing due to the CR4 component being missing. Therefore, the defect occurred prior to the ICT process. 3. AOI r...</t>
  </si>
  <si>
    <t>Quarter-end sort date: 2025-07-26; Manufacturer site from report context.; Issue quantity parsed from defect-specific narrative.</t>
  </si>
  <si>
    <t>Contamination</t>
  </si>
  <si>
    <t>Contamination Fixture contaminated caused test to fail. Passed once fixture was cleaned</t>
  </si>
  <si>
    <t>Check all fixtures for contamination to prevent recurrence.</t>
  </si>
  <si>
    <t>PPR REPORT _ FVN IOTBU.xlsx | ICT Action Tracking | row 10</t>
  </si>
  <si>
    <t>RFA-000027</t>
  </si>
  <si>
    <t>Root cause: There is contamination on the fixture.</t>
  </si>
  <si>
    <t>Sonic Arthas</t>
  </si>
  <si>
    <t>68-104603</t>
  </si>
  <si>
    <t>Solder: CHECK RTC HTHV</t>
  </si>
  <si>
    <t>1. Sent the abnormal feeder for repair and maintenance, and keep tracking. 2. Use defect images to train visual inspection.</t>
  </si>
  <si>
    <t>WK8Q1FY26</t>
  </si>
  <si>
    <t>PPR REPORT _ FVN IOTBU.xlsx | ETE Action Tracking | row 26</t>
  </si>
  <si>
    <t>RFA-000030</t>
  </si>
  <si>
    <t>Source mode: Process/NPF; Root cause: 3pcs (Y3) open solder: (The defect occurred in the same panel with 2 PCS affected.) 1. The feeder was unstable, which caused pick up offset and open after the reflow. 2. AOI covered but skipped by OP. 3. The AOI defec...</t>
  </si>
  <si>
    <t>Quarter-end sort date: 2025-10-25; Manufacturer site from report context.</t>
  </si>
  <si>
    <t>Contamination: TM I2C TEST</t>
  </si>
  <si>
    <t>1. Retrain the operators to properly clean the golden fingers in accordance with the SOP requirements. 2. Retest pass. Same failure can't be duplicated, keep monitor.</t>
  </si>
  <si>
    <t>PPR REPORT _ FVN IOTBU.xlsx | ETE Action Tracking | row 32</t>
  </si>
  <si>
    <t>RFA-000031</t>
  </si>
  <si>
    <t>Source mode: OPERATOR_PROCESS/CND; Root cause: 1. 1pc (73-103500-04/FVH2934A8R4). The golden finger was contaminated. Clean and retest passed. 2. 3pcs CND issue, dopgs_bsp_i2c_read(475): Bus error</t>
  </si>
  <si>
    <t>Contamination: TM MDIO TEST</t>
  </si>
  <si>
    <t>PPR REPORT _ FVN IOTBU.xlsx | ETE Action Tracking | row 33</t>
  </si>
  <si>
    <t>RFA-000032</t>
  </si>
  <si>
    <t>Source mode: OPERATOR_PROCESS/CND; Root cause: 1. 1pc (73-103500-04/FVH2934A8QP).The golden finger was contaminated. Clean and retest passed. 2. 2pcs CND issue, Mdio status cannot be read.</t>
  </si>
  <si>
    <t>Contamination: CHECK SYSTEM UUT CONFIGURATION</t>
  </si>
  <si>
    <t>Retrain the operators to properly clean the golden fingers in accordance with the SOP requirements.</t>
  </si>
  <si>
    <t>PPR REPORT _ FVN IOTBU.xlsx | ETE Action Tracking | row 34</t>
  </si>
  <si>
    <t>RFA-000033</t>
  </si>
  <si>
    <t>Source mode: OPERATOR_PROCESS; Root cause: 1. 2pcs (73-103500-04/FVH2934A8PL,FVH2932AUHU). The golden finger was contaminated. Clean and retest passed.</t>
  </si>
  <si>
    <t>Contamination: POE SKYWORKS UPGRADE</t>
  </si>
  <si>
    <t>PPR REPORT _ FVN IOTBU.xlsx | ETE Action Tracking | row 35</t>
  </si>
  <si>
    <t>RFA-000034</t>
  </si>
  <si>
    <t>Source mode: OPERATOR_PROCESS/CND; Root cause: 1. 1pc (73-103500-04/FVH2936AFJ5). The golden finger was contaminated. Clean and retest passed. 2. 1pc CND issue, the unit does not display complete information when running the PoeSkyworksUpgradeBL command</t>
  </si>
  <si>
    <t>68-104511</t>
  </si>
  <si>
    <t>PPR REPORT _ FVN IOTBU.xlsx | ETE Action Tracking | row 37</t>
  </si>
  <si>
    <t>RFA-000035</t>
  </si>
  <si>
    <t>Source mode: OPERATOR_PROCESS/CND; Root cause: 1. 1pc (73-103500-04/ FVH2934A8QJ). The golden finger was contaminated. Clean and retest passed. 2. 1pc CND issue, dopgs_bsp_i2c_read(475): Bus error</t>
  </si>
  <si>
    <t>1. Retrain the operators to properly clean the golden fingers in accordance with the SOP requirements. 2.TE collects GBs with high number of failures and verifies. Keep monitor.</t>
  </si>
  <si>
    <t>PPR REPORT _ FVN IOTBU.xlsx | ETE Action Tracking | row 39</t>
  </si>
  <si>
    <t>RFA-000036</t>
  </si>
  <si>
    <t>Source mode: OPERATOR_PROCESS/GB; Root cause: 1. 1pc (73-103500-04/FVH2932AUHU). The golden finger was contaminated. Clean and retest passed. 2. 1pc The unit cannot read GB information</t>
  </si>
  <si>
    <t>Trax</t>
  </si>
  <si>
    <t>73-101801</t>
  </si>
  <si>
    <t>Solder: FAILED ANALOG TEST*3</t>
  </si>
  <si>
    <t>1. ME tightened PIN height detection from 0.3 mm to 0.2 mm, with abnormal materials rejected. 2. Used AOI defect images to retrain visual inspectors.</t>
  </si>
  <si>
    <t>WK13 Q1FY26</t>
  </si>
  <si>
    <t>PPR REPORT _ FVN IOTBU.xlsx | ICT Action Tracking | row 11</t>
  </si>
  <si>
    <t>RFA-000038</t>
  </si>
  <si>
    <t>Root cause: CR45/CR47: OPEN SOLDER 1.CR45/CR47 are transistor components, P/N 13-0687-02, with Qt'y of 2pcs 2. Inspection of the defective unit found a open solder caused by a single non-coplanar PIN. 3. ME confirmed no risk of d...</t>
  </si>
  <si>
    <t>Quarter-end sort date: 2025-10-25; Manufacturer site from report context.; Parent Failed Qty used because this is the group's only populated issue.</t>
  </si>
  <si>
    <t>Damage</t>
  </si>
  <si>
    <t>C8570-G2; C8500G</t>
  </si>
  <si>
    <t xml:space="preserve">Damage: The MCVT unit escape NCB DF processes </t>
  </si>
  <si>
    <t>Remarks reference GOLF#5372281-IT and detail the FITS system enhancement, including auto-lock and blocking at specific process steps.,@konlee:11/14:Root causes to the issue were isolated to:1. There is no proper guideline for build readiness including shop floor control system for Program Co. and the qualification team and, only one way communication via email.2. NCB PCBA and DF do not have a standardized process or linked shop floor system to identify and block qualification build units or special build units., @[email-redacted]:11/14: Root causes to the issue were isolated to: 1. There is no proper guideline for build readiness including shop floor control system for Program Co. and the qualification team and, only one way communication via email. 2. NCB PCBA and DF do not have a standardized process or linked shop floor system to identify and bl...</t>
  </si>
  <si>
    <t>APD-1141</t>
  </si>
  <si>
    <t>SCQO REPORT 01-01-24 to 07-21-26.xlsx | Sheet1 | row 34</t>
  </si>
  <si>
    <t>RFA-000039</t>
  </si>
  <si>
    <t>Source mode: EMS Partner/BTS:Method; Root-cause code: EMS Partner/BTS(No/Improper Process Control); Root cause: What?: The MCVT unit Encore C8570-G2 escaped NCB DF processes without Cisco approve [redacted] Product Name: C8570-G2 C8570-G2 TAN SN# FCB2941D02J 800-111373 01 SN# ASV2533005T Qty:1 unit.; &lt;br/&gt;@[email-re...</t>
  </si>
  <si>
    <t>1. Required OP clean the adhesive residue of golden fingers before assembly. 2. Replaced the VN tape vendor to CN vendor, will keep monitoring.</t>
  </si>
  <si>
    <t>WK7 Q2FY26</t>
  </si>
  <si>
    <t>PPR REPORT _ FVN IOTBU.xlsx | ETE Action Tracking | row 90</t>
  </si>
  <si>
    <t>RFA-000042</t>
  </si>
  <si>
    <t>Source mode: Process; Root cause: PCBA is contaminated. Clean out and retest pass</t>
  </si>
  <si>
    <t>Quarter-end sort date: 2026-01-24; Manufacturer site from report context.</t>
  </si>
  <si>
    <t>PPR REPORT _ FVN IOTBU.xlsx | ETE Action Tracking | row 91</t>
  </si>
  <si>
    <t>RFA-000043</t>
  </si>
  <si>
    <t>68-102178</t>
  </si>
  <si>
    <t>Solder: TRAFFIC SPEED_100_SIZE512</t>
  </si>
  <si>
    <t>Conducted retraining for rework operators and VI operators</t>
  </si>
  <si>
    <t>WK12 Q3FY26</t>
  </si>
  <si>
    <t>PPR REPORT _ FVN IOTBU.xlsx | ETE Action Tracking | row 175</t>
  </si>
  <si>
    <t>RFA-000047</t>
  </si>
  <si>
    <t>Source mode: OP; Root cause: 1. Visual checked, solder bridge was found on circular connector (29-101015-01) 2. The OP's touch-up was not done well</t>
  </si>
  <si>
    <t>Quarter-end sort date: 2026-04-25; Manufacturer site from report context.</t>
  </si>
  <si>
    <t>Solder: TRAFFIC SPEED_1000_SIZE1518</t>
  </si>
  <si>
    <t>PPR REPORT _ FVN IOTBU.xlsx | ETE Action Tracking | row 176</t>
  </si>
  <si>
    <t>RFA-000048</t>
  </si>
  <si>
    <t>Workmanship</t>
  </si>
  <si>
    <t>Clarke Phase 2</t>
  </si>
  <si>
    <t>68-103807-01</t>
  </si>
  <si>
    <t>FDO300706LT; FDO3007J71B</t>
  </si>
  <si>
    <t>RETEST_NO_DEBUG, TST_ACCESSORIES_MALFUNCTION, WORKMANSHIP, WORKMANSHIP
Defect identified in PCBST</t>
  </si>
  <si>
    <t>N/A BonePile</t>
  </si>
  <si>
    <t>FDO — Flex</t>
  </si>
  <si>
    <t>PPR REPORT _ FDO IOTBU | BonePile Details</t>
  </si>
  <si>
    <t>MORENO LITE/MORENO</t>
  </si>
  <si>
    <t>IE-4010-16S12P</t>
  </si>
  <si>
    <t>Tested in wrong container.</t>
  </si>
  <si>
    <t>Retested. Update SYSFT to make more universal</t>
  </si>
  <si>
    <t>FTX — Foxconn</t>
  </si>
  <si>
    <t>SYSFT confirmed</t>
  </si>
  <si>
    <t>PPR REPORT _ FTX IOTBU.xlsx</t>
  </si>
  <si>
    <t>SRGBU WLC</t>
  </si>
  <si>
    <t>C9800-L-F-K9; Katar</t>
  </si>
  <si>
    <t>Retested</t>
  </si>
  <si>
    <t>IE-9320-26S2C-A</t>
  </si>
  <si>
    <t>68-103721-03</t>
  </si>
  <si>
    <t>FDO2730J747</t>
  </si>
  <si>
    <t>Wrong SW installed or Configuration made at Factory</t>
  </si>
  <si>
    <t>FA-0777276</t>
  </si>
  <si>
    <t>FA Case Report</t>
  </si>
  <si>
    <t>FA CASE REPORT _IOT FA Case Details.xlsx</t>
  </si>
  <si>
    <t>OPERATOR_PROCESS</t>
  </si>
  <si>
    <t>Missed/Wrong Scanning</t>
  </si>
  <si>
    <t>SUMATRA IR8340-K9</t>
  </si>
  <si>
    <t>68-102306-06</t>
  </si>
  <si>
    <t>FDO2907J17L</t>
  </si>
  <si>
    <t>Operator missed scanning the PSU</t>
  </si>
  <si>
    <t>RE-SCAN Assembly</t>
  </si>
  <si>
    <t>IR8340-K9 P-LTE-MNA</t>
  </si>
  <si>
    <t>FDO2911J876</t>
  </si>
  <si>
    <t>This card P-LTE-MNA not mary with this unit / rescan assembly</t>
  </si>
  <si>
    <t>PETRA-A</t>
  </si>
  <si>
    <t>IE-3400-8P2S-A</t>
  </si>
  <si>
    <t>FVH2915LE2Y</t>
  </si>
  <si>
    <t>Operator tested with wrong line id / retest unit corrected line id</t>
  </si>
  <si>
    <t>Retest without debug (CND)</t>
  </si>
  <si>
    <t>68-102306</t>
  </si>
  <si>
    <t>FDO2913J7J7</t>
  </si>
  <si>
    <t>Unit didn't pass assy / rescan assy</t>
  </si>
  <si>
    <t>Re-Seat</t>
  </si>
  <si>
    <t>Clarke IE-9320-22S2C4X-A</t>
  </si>
  <si>
    <t>FDO2914J27K</t>
  </si>
  <si>
    <t>Inserted SD card not property / reseated</t>
  </si>
  <si>
    <t>RE-SEATED RISER CARD</t>
  </si>
  <si>
    <t>FDO2915J014</t>
  </si>
  <si>
    <t>missing scanned HWIC / rescan</t>
  </si>
  <si>
    <t>AVENTUS IR1835-K9</t>
  </si>
  <si>
    <t>68-102700-05</t>
  </si>
  <si>
    <t>FCW2915Y0D9</t>
  </si>
  <si>
    <t>moved unit to different server with abort. Incorrect Operator response</t>
  </si>
  <si>
    <t>Move to different Server</t>
  </si>
  <si>
    <t>Reverse/Wrong Orientation</t>
  </si>
  <si>
    <t>FVH2934L1NU</t>
  </si>
  <si>
    <t>installed wrong</t>
  </si>
  <si>
    <t>Swap FM</t>
  </si>
  <si>
    <t>MORENO LITE</t>
  </si>
  <si>
    <t>FDO2939J80H</t>
  </si>
  <si>
    <t>Unit failed due to wrong cabling config. Reseated cables to correct port then retested in same cell and passed FST.</t>
  </si>
  <si>
    <t>WORKMANSHIP</t>
  </si>
  <si>
    <t>FDO2938J1HP</t>
  </si>
  <si>
    <t>RE-CONNECTED LOOSE CABLE</t>
  </si>
  <si>
    <t>SUMATRA</t>
  </si>
  <si>
    <t>IR8340-K9</t>
  </si>
  <si>
    <t>FDO2941J002, FDO2941J01B, FDO2937J98G, FDO2940J9G7</t>
  </si>
  <si>
    <t>Unit failed due to wrong cabling, Reseated cables correctly in ports then retested in same cell.</t>
  </si>
  <si>
    <t>RE-SEATED CABLE, RE-CONNECTED LOOSE CABLE</t>
  </si>
  <si>
    <t>FDO2937J9B8, FDO2939JB88, FDO2941J099</t>
  </si>
  <si>
    <t>Unit failed due to test cables inserted wrong. Reseated cables correctly then retested in same cell.</t>
  </si>
  <si>
    <t>RE-SEATED CABLE</t>
  </si>
  <si>
    <t>FDO2939JB42</t>
  </si>
  <si>
    <t>FDO2939J9UP, FDO2939J9GS, FDO2939J9ZZ, FDO2939J9N1, FDO2939JBFB, FDO2939J92D, FDO2939JBF4, FDO2941J0T2</t>
  </si>
  <si>
    <t>KATAR</t>
  </si>
  <si>
    <t>C9800-L-C-K9</t>
  </si>
  <si>
    <t>FCL293200MN</t>
  </si>
  <si>
    <t>FDO2939J9DL</t>
  </si>
  <si>
    <t>C8200L-1N-4T</t>
  </si>
  <si>
    <t>FJC280717FR</t>
  </si>
  <si>
    <t>Unit was not detecting module PVDM-32 since was not inserted flush in to slot.</t>
  </si>
  <si>
    <t>Retraining the personnel of third shift regarding the module placement in the ASSY process.</t>
  </si>
  <si>
    <t>FJZ — Foxconn</t>
  </si>
  <si>
    <t>PRR Report - SRGBU WK2 Q1FY27 FJZ</t>
  </si>
  <si>
    <t xml:space="preserve"> 68-103722-06</t>
  </si>
  <si>
    <t>FDO2938J817, FDO2938J7ZP, FDO2938J7UN</t>
  </si>
  <si>
    <t>SD card detected at beginning of test but failed due to missing SD card. Upon inspection SD card missing from unit. Insert SD card, retest</t>
  </si>
  <si>
    <t>RE-SEATED SD CARD</t>
  </si>
  <si>
    <t>IE-4010-16S12P 68-6048-02</t>
  </si>
  <si>
    <t>FDO2945J6D4</t>
  </si>
  <si>
    <t>CABLE_LOOSE ethernet cable loose / reseated cable</t>
  </si>
  <si>
    <t>Clarke  IE-9320-24P4S-A</t>
  </si>
  <si>
    <t>68-104015-02</t>
  </si>
  <si>
    <t>FDO2943J9BJ, FDO2943J91H, FDO2943J9DZ, FDO2943J94L</t>
  </si>
  <si>
    <t>68-102700-06</t>
  </si>
  <si>
    <t>FVH2946L7U8</t>
  </si>
  <si>
    <t>CONNECTOR_FAILURE reseat micro USB ( incorrected action)</t>
  </si>
  <si>
    <t>FVH2948LBQR, FVH2949L2DT, FVH2949L2AZ</t>
  </si>
  <si>
    <t>INCORRECT_OPERATOR_RESPONSE operator inserted MicroUSB unproperly</t>
  </si>
  <si>
    <t>FVH2946L7U8, FVH2947LDCP</t>
  </si>
  <si>
    <t>COMPONENT_FAILURE bad MicroUSB port / operator issue/ replace chassis</t>
  </si>
  <si>
    <t>REPLACE CHASSIS</t>
  </si>
  <si>
    <t xml:space="preserve">Clarke </t>
  </si>
  <si>
    <t>IE-9320-24P4S-A</t>
  </si>
  <si>
    <t>FDO2950JB24</t>
  </si>
  <si>
    <t>MISSED_SCAN Unit failed due to PSU not programmed with unit. Sending to assembly for rescan.</t>
  </si>
  <si>
    <t>FVH2950L6A9, FVH2950L66G, FVH2950L23P, FVH2950L43X, FVH2950L3MX, FVH2950L3V7, FVH2950L3W9</t>
  </si>
  <si>
    <t>INCORRECT_OPERATOR_RESPONSE inserted MicroUSB unproferly/ fixed</t>
  </si>
  <si>
    <t>BLACKHEART</t>
  </si>
  <si>
    <t>ESR-6300-NCP-K9= 68-102311-04</t>
  </si>
  <si>
    <t>FVH2952AE6J</t>
  </si>
  <si>
    <t>INCORRECT_OPERATOR_RESPONSE Operator forgot Heatsink</t>
  </si>
  <si>
    <t>Re-seated Heatsink</t>
  </si>
  <si>
    <t>FVH2951L835, FVH2952LCP8</t>
  </si>
  <si>
    <t>INCORRECT_OPERATOR_RESPONSE missing scanned assy/ rescan assy</t>
  </si>
  <si>
    <t>FVH2952LCKK, FVH2952L79Q, FVH2952LC9U, FVH2952LCR5</t>
  </si>
  <si>
    <t>INCORRECT_OPERATOR_RESPONSE reseated cable</t>
  </si>
  <si>
    <t xml:space="preserve">Clarke  IE-9320-24P4X-A </t>
  </si>
  <si>
    <t>68-104013-02</t>
  </si>
  <si>
    <t>FDO3006J6JB FDO3006J6DB FDO3004J2D4</t>
  </si>
  <si>
    <t>Operator removed the SD card too early</t>
  </si>
  <si>
    <t>AVENTUS</t>
  </si>
  <si>
    <t>IR1835-K9 68-102700-06</t>
  </si>
  <si>
    <t>FVH3003LGWY</t>
  </si>
  <si>
    <t>MISASSEMBLED Misassembled / Rescan assembly</t>
  </si>
  <si>
    <t>IR8340-K9 68-102306-06</t>
  </si>
  <si>
    <t>FDO3015J880</t>
  </si>
  <si>
    <t>MISSED_SCAN Missing scan PSU / Re-scan assy</t>
  </si>
  <si>
    <t>Equipment/Fixture</t>
  </si>
  <si>
    <t>MORENO LITE IE-4010-16S12P</t>
  </si>
  <si>
    <t>68-6048-01</t>
  </si>
  <si>
    <t>TEST_SETUP_ISSUE DC power cable issue caused one PSU displayed BAD when show environment</t>
  </si>
  <si>
    <t>Re-placed DC cable and retest</t>
  </si>
  <si>
    <t>SYSFT</t>
  </si>
  <si>
    <t>Operator_Process</t>
  </si>
  <si>
    <t>C8500-12X4QC</t>
  </si>
  <si>
    <t>STP29360CG9</t>
  </si>
  <si>
    <t>ASSEMBLE GENEALOGY Wrong scanning DATA to the tester.
Operator scan DIMM SN instead of Parent SN</t>
  </si>
  <si>
    <t xml:space="preserve">Ensure operator passed training, SOP and track operator EN.  Disable auto sending after each scanning. </t>
  </si>
  <si>
    <t>PPR REPORT _ NCB SRGBU WNBU.xlsx</t>
  </si>
  <si>
    <t>MEM-C8500-16GB</t>
  </si>
  <si>
    <t>TTM2931001A</t>
  </si>
  <si>
    <t xml:space="preserve">Retrain operators to ensure they follow SOPs,  If operator scan wrong SN then test script allow to rescan correct SN. </t>
  </si>
  <si>
    <t>Packout Error</t>
  </si>
  <si>
    <t>TTM282000WK TTM281500LK TTM281500GD</t>
  </si>
  <si>
    <t>Defected component NCB DF Site caution label print error. Customer Reported escalation.</t>
  </si>
  <si>
    <t>8D report completed and replacement POD labels prepared</t>
  </si>
  <si>
    <t>CE-1400</t>
  </si>
  <si>
    <t>Approx</t>
  </si>
  <si>
    <t>Operator error</t>
  </si>
  <si>
    <t>ASR1009-X</t>
  </si>
  <si>
    <t>FOX2813PHZM</t>
  </si>
  <si>
    <t>Operator error. Failed : POWER CYCLE
Unit Fail : Cable loose</t>
  </si>
  <si>
    <t>Review all tester and rewiring. QC has daily audit.</t>
  </si>
  <si>
    <t>FY2024 WK32</t>
  </si>
  <si>
    <t>C8500L-8S4X</t>
  </si>
  <si>
    <t>FLX2820018R</t>
  </si>
  <si>
    <t>Operator error. Fugazi failed : CARD BOOT UP CHECK
Unit Fail : Wrong cable</t>
  </si>
  <si>
    <t>-Under add step pre sequnce check power
-Need more detail which cable number and which cell number operator pluged. Done</t>
  </si>
  <si>
    <t>FY2024 WK 33</t>
  </si>
  <si>
    <t>C8500-20X6C</t>
  </si>
  <si>
    <t>FOX2812PCK4</t>
  </si>
  <si>
    <t>Operator not open grad cover Check unit found gard cover block air flow front unit. Unit Fail due to high temp</t>
  </si>
  <si>
    <t>- Add visual aid to SYSFT station.
-Update work instruction.Done</t>
  </si>
  <si>
    <t>FY2024 WK35</t>
  </si>
  <si>
    <t>FOX2817P90S</t>
  </si>
  <si>
    <t xml:space="preserve">Fail : STANDBY PARSE DIAG FAILURE
Unit fail : Mathod issue
After fail we found console dissconect </t>
  </si>
  <si>
    <t>FY2024 WK42</t>
  </si>
  <si>
    <t>Tester</t>
  </si>
  <si>
    <t>FLX284502A8,
FLX2845028N,
FLX28450296,
FLX284502AG,
FLX2845028V,
FLX284502A2,
FLX284502AF</t>
  </si>
  <si>
    <t>Use wrong test scripts. TE convert the tester to support Encore Accolate. Production don't aware on this and load the unit to the tester cause this failure.</t>
  </si>
  <si>
    <t>Use wrong scripts to test
-Short term, TE setup the new tester and identified for NPI.
-Long term, Separate tester for NPI and not allow sharing the tester with production.
-Provide the RCCA to Cisco.</t>
  </si>
  <si>
    <t>FY2025 WK3</t>
  </si>
  <si>
    <t>C8500-12X</t>
  </si>
  <si>
    <t>TTM291200FH</t>
  </si>
  <si>
    <t>Operator error. Incorrect console cable used.</t>
  </si>
  <si>
    <t>Remark the console cable to differentiate between AP2 and APC.</t>
  </si>
  <si>
    <t>FY2025 WK17</t>
  </si>
  <si>
    <t>Operator Error</t>
  </si>
  <si>
    <t>C8500L-8S4X=</t>
  </si>
  <si>
    <t>FLX290801W4
(SYSAPK)</t>
  </si>
  <si>
    <t>Swap traveler document . Incorrect SN scanned and didn't match traveler. SN of Chassis scanned instead of DIM SN</t>
  </si>
  <si>
    <t>Review and empazied OP must check traveler compare with acture chassis SN before performing SYSAPK
operator will confirm the SN identified on etraveller and actual unit before continue to scan the component information on etraveller during the auto send component data to SYSAPK</t>
  </si>
  <si>
    <t>FY2025 WK19</t>
  </si>
  <si>
    <t>STP290701X1
(SYSASSY)</t>
  </si>
  <si>
    <t>Wrong scanning information to the tester</t>
  </si>
  <si>
    <t>1. SYSASSY auto get the configuation data from FITs after SN of UUT.
2. Ensure operator passed training, SOP and track operator EN.</t>
  </si>
  <si>
    <t>FY2025 WK22</t>
  </si>
  <si>
    <t>ASR1009-X=</t>
  </si>
  <si>
    <t>FOX2816P93Z</t>
  </si>
  <si>
    <t>New operator did not insert blank card</t>
  </si>
  <si>
    <t>-Retraning new operator. Add pop-up checking to insert blank card and show VA
-Issue TR for short term action and also training.</t>
  </si>
  <si>
    <t>FY2024 WK40</t>
  </si>
  <si>
    <t>Equipment</t>
  </si>
  <si>
    <t>EPA-QSFP-1X100GE=</t>
  </si>
  <si>
    <t>FCB2938W029
FCB2938W00V
FCB2938W038
FCB2938W039</t>
  </si>
  <si>
    <t>Related genology of Gold board chassis.</t>
  </si>
  <si>
    <t>Clear all Goldboard chassis genology</t>
  </si>
  <si>
    <t>FY2025 WK42</t>
  </si>
  <si>
    <t>C8500-20X6C=</t>
  </si>
  <si>
    <t>FOX2943PXM9</t>
  </si>
  <si>
    <t>Equipment issue. The Cycling Box circuit breaker tripped due to overcurrent.</t>
  </si>
  <si>
    <t xml:space="preserve">Add additional test stations to support ACE product testing, as the testing requires high current consumption beyond the capacity of the current setup.
</t>
  </si>
  <si>
    <t>PCBVF confirmed</t>
  </si>
  <si>
    <t>C8500-20X6C=
(ACE)</t>
  </si>
  <si>
    <t>FOX2945PWP3
FOX2942PKZX</t>
  </si>
  <si>
    <t xml:space="preserve">Short term : Add DIAG 1 pc per 1 cycling box
Long term: Add additional test stations to support ACE product testing, as the testing requires high current consumption beyond the capacity of the current setup. </t>
  </si>
  <si>
    <t>FY2026 WK7</t>
  </si>
  <si>
    <t>C8500-20X6C
(ACE)</t>
  </si>
  <si>
    <t>FOX2946P4S7</t>
  </si>
  <si>
    <t>Equipment issue.The issue was caused by a damaged console cable, with internal damage found in the cable.</t>
  </si>
  <si>
    <t xml:space="preserve">The equipment was inspected, and the damaged LAN cable was replaced. Perform cable inspection using the equipment according to the Daily Maintenance Checklist, Form No. F-PE286-006 Rev.03 </t>
  </si>
  <si>
    <t>FY2026 WK11</t>
  </si>
  <si>
    <t>Process</t>
  </si>
  <si>
    <t>C8500L-8S4X
(Fugazi)</t>
  </si>
  <si>
    <t>FLX2952031Q</t>
  </si>
  <si>
    <t>The failure was caused by an improper SFP connection (not properly seated).</t>
  </si>
  <si>
    <t>Train operators to carefully and thoroughly inspect the units after receiving them from the Kitting team. PE need to add before and after photos after plugging on WI no.WI-PE287004-007 Rev.06.</t>
  </si>
  <si>
    <t>FY2026 WK8</t>
  </si>
  <si>
    <t>Operator Process</t>
  </si>
  <si>
    <t>C8570-G2 (Encore)</t>
  </si>
  <si>
    <t>FCB3016D090
FCB3016D08W</t>
  </si>
  <si>
    <t>The failure was caused by incorrect genealogy data, resulting in the inability to verify the genealogy child.
This issue occurred due to an operator scanning an incorrect part number at the SYSRFIDENC station, leading to incorrect genealogy records.</t>
  </si>
  <si>
    <t xml:space="preserve">Revise WI-PE287013-002 and Re-training Operator to understand the good practice. It is recommended that CTE modify the test script to scan only the 800 part number. </t>
  </si>
  <si>
    <t>FY2026 WK17</t>
  </si>
  <si>
    <t>C8500-20X6C (ACE)</t>
  </si>
  <si>
    <t>FOX2948PNW6</t>
  </si>
  <si>
    <t>The failure occurred when the power cable became disconnected during testing. The cable was not properly secured, and movement of the test rack caused the power connection to be interrupted.</t>
  </si>
  <si>
    <t>Train operators to strictly follow the work instructions and perform tasks carefully. Need to add WI  how to set up cable before test at test station</t>
  </si>
  <si>
    <t>FY2026 WK23</t>
  </si>
  <si>
    <t>FCB3022D06S
FCB3022D06T</t>
  </si>
  <si>
    <t>The failure was caused by incorrect genealogy data, resulting in the inability to verify the genealogy child. This issue occurred because the operator scanned the wrong serial number at the SYSRFIDENC station.
Instead of scanning S/N: FCB3022D06S, the operator scanned S/N: ASV3011005H. As a result, incorrect genealogy information was recorded in the system.</t>
  </si>
  <si>
    <t>CTE has modified the test script of SYSRFID station to allow to scan only Prefix FCB and ignore Prefix ASV.</t>
  </si>
  <si>
    <t>FY2026 WK25</t>
  </si>
  <si>
    <t>C8550-G2
(Accolade)</t>
  </si>
  <si>
    <t>FCB3022D050</t>
  </si>
  <si>
    <t>This issue occurred because the operator scanned the wrong serial number at the SYSRFIDENC station therefore, incorrect genealogy information was recorded in the system. The failure was caused by incorrect genealogy data, resulting in the inability to verify the genealogy child.</t>
  </si>
  <si>
    <t>CTE has modified the test script of SYSRFID station to allow to scan only Prefix FCB and ignore Prefix ASV</t>
  </si>
  <si>
    <t>FY2026 WK26</t>
  </si>
  <si>
    <t>IE-3400H-24T-E</t>
  </si>
  <si>
    <t>68-102178-02</t>
  </si>
  <si>
    <t>FCW2815Y17B</t>
  </si>
  <si>
    <t>Mechanical</t>
  </si>
  <si>
    <t>FOC — Foxconn</t>
  </si>
  <si>
    <t>FA-0779324</t>
  </si>
  <si>
    <t>Cosmetic</t>
  </si>
  <si>
    <t>IE-9320-22S2C4X-A</t>
  </si>
  <si>
    <t>68-103722-04</t>
  </si>
  <si>
    <t>FDO2802J8SJ</t>
  </si>
  <si>
    <t>FA-0709502</t>
  </si>
  <si>
    <t>IE-9320-26S2C-E</t>
  </si>
  <si>
    <t>68-103296-03</t>
  </si>
  <si>
    <t>FDO2831J6TS</t>
  </si>
  <si>
    <t>HW Fail - Other</t>
  </si>
  <si>
    <t>FA-0802192</t>
  </si>
  <si>
    <t>IE-3100-18T2C-E</t>
  </si>
  <si>
    <t>68-103580-05</t>
  </si>
  <si>
    <t>FDO2817J792</t>
  </si>
  <si>
    <t>HW Fail - Boot Up</t>
  </si>
  <si>
    <t>FA-0758016</t>
  </si>
  <si>
    <t>FDO2829J481</t>
  </si>
  <si>
    <t>FA-0763573</t>
  </si>
  <si>
    <t>Open/Short Circuit (Non-Solder)</t>
  </si>
  <si>
    <t>IE-9310-26S2C-E</t>
  </si>
  <si>
    <t>68-103295-03</t>
  </si>
  <si>
    <t>FDO2822J1LL</t>
  </si>
  <si>
    <t>HW Fail - Power</t>
  </si>
  <si>
    <t>FA-0734340</t>
  </si>
  <si>
    <t>IE-3100-8T2C-E</t>
  </si>
  <si>
    <t>68-103061-05</t>
  </si>
  <si>
    <t>FDO2823J0PG</t>
  </si>
  <si>
    <t>FA-0759954</t>
  </si>
  <si>
    <t>IE-9320-24P4X-A</t>
  </si>
  <si>
    <t>FDO2823J64P</t>
  </si>
  <si>
    <t>FA-0728774</t>
  </si>
  <si>
    <t>IE-9320-24T4X-E</t>
  </si>
  <si>
    <t>68-103806-01</t>
  </si>
  <si>
    <t>FDO2820J4KB</t>
  </si>
  <si>
    <t>FA-0710018</t>
  </si>
  <si>
    <t>IR8140H-K9=</t>
  </si>
  <si>
    <t>68-102712-03</t>
  </si>
  <si>
    <t>FDO2901J0H4</t>
  </si>
  <si>
    <t> </t>
  </si>
  <si>
    <t>FA-0830702</t>
  </si>
  <si>
    <t>68-102700-02</t>
  </si>
  <si>
    <t xml:space="preserve">TEST_SETUP_ISSUE UUT failed to get any output from the microusb connection </t>
  </si>
  <si>
    <t>reseated the microusb connection, retested and passed</t>
  </si>
  <si>
    <t>FDO2843J16S</t>
  </si>
  <si>
    <t>FA-0793580</t>
  </si>
  <si>
    <t>FDO2849J7S0</t>
  </si>
  <si>
    <t>HW Fail - Boot Up. Wrong SW installed or Configuration made at Factory</t>
  </si>
  <si>
    <t>FA-0778942</t>
  </si>
  <si>
    <t>FDO2902J4KN</t>
  </si>
  <si>
    <t>HW Fail - Other. Wrong SW installed or Configuration made at Factory</t>
  </si>
  <si>
    <t>FA-0810180</t>
  </si>
  <si>
    <t>IE-3300-8T2S-E</t>
  </si>
  <si>
    <t>68-101630-07</t>
  </si>
  <si>
    <t>FVH2933LBS7</t>
  </si>
  <si>
    <t>HW Fail - Boot Up. Mechanical</t>
  </si>
  <si>
    <t>FA-0873434</t>
  </si>
  <si>
    <t>IW9167EH-B-AP</t>
  </si>
  <si>
    <t>74-128447-01</t>
  </si>
  <si>
    <t>KWC280800QY</t>
  </si>
  <si>
    <t>HW Fail - Boot Up. Open/Short Circuit (Non-Solder)</t>
  </si>
  <si>
    <t>FA-0720620</t>
  </si>
  <si>
    <t>IW9167EH-E-WGB</t>
  </si>
  <si>
    <t>74-128447-02</t>
  </si>
  <si>
    <t>KWC28340E0P</t>
  </si>
  <si>
    <t>FA-0760762</t>
  </si>
  <si>
    <t>74-128447-03</t>
  </si>
  <si>
    <t>KWC28340E18</t>
  </si>
  <si>
    <t>FA-0760760</t>
  </si>
  <si>
    <t>KWC28340E3K</t>
  </si>
  <si>
    <t>FA-0760761</t>
  </si>
  <si>
    <t>IW9167EH-E-AP</t>
  </si>
  <si>
    <t>KWC283806PL</t>
  </si>
  <si>
    <t>HW Fail - Power. Open/Short Circuit (Non-Solder)</t>
  </si>
  <si>
    <t>FA-0845669</t>
  </si>
  <si>
    <t>BLACKHEART ESR-6300-CON-K9</t>
  </si>
  <si>
    <t>68-102197-02</t>
  </si>
  <si>
    <t>TEST_SETUP_ISSUE 1 unit: gold heat sink issue caused unit overheat and hung during test.</t>
  </si>
  <si>
    <t>re-seat gold heat sink and retest</t>
  </si>
  <si>
    <t>BLACKHEART ESR-6300-NCP-K9=</t>
  </si>
  <si>
    <t>TEST_SETUP_ISSUE unable to connect to CSSM server to download license.</t>
  </si>
  <si>
    <t>Clarke IE-9320-22S2C4X-E</t>
  </si>
  <si>
    <t>68-103191-05</t>
  </si>
  <si>
    <t>DF reported Clarke PID VID check fail issue, it's set 'V02' in Cisco Agile for latest EA617080, while it's 'V01' labelled and set for physical goods.</t>
  </si>
  <si>
    <t xml:space="preserve">Reworked at FDO. Cisco to update TANMAP to add VID info. </t>
  </si>
  <si>
    <t>PPR REPORT _ FDO IOTBU.xlsx</t>
  </si>
  <si>
    <t xml:space="preserve">Rio  IE-3100-8T2C-E </t>
  </si>
  <si>
    <t>27-2197-01</t>
  </si>
  <si>
    <t>FDO2910J0TB</t>
  </si>
  <si>
    <t xml:space="preserve">Alarm Wire Entry Block (27-2197-01) missing on one Rio IE-3100-8T2C-E. FPY is the total units built on the line in March 20, 2025. Low Risk. </t>
  </si>
  <si>
    <t>Alarm Wire Entry Block installed in one station and then inspected by the other station by different operators, and there is shop-flow route setting to check by FlexFlow system. This block (6-Pin) and the Power Wire Entry Block (2-Pin) have been used for IOTBU IE2K, IE4K and IE3K products since year 2012, it’s first time that FDO received the report of the part missing.</t>
  </si>
  <si>
    <t>Aventus IR1833-K9</t>
  </si>
  <si>
    <t>68-102699</t>
  </si>
  <si>
    <t>The MB board cookie data programed wrong at ICT station. ICT engineer selected wrong program from the local computer instead of the server when they test the work order tail products.</t>
  </si>
  <si>
    <t>Train ICT engineer to check the program name, version and the actual cookie content before programming. Promptly remove the outdated programs from their local computer and to download the program from the server</t>
  </si>
  <si>
    <t>WK7 Q1FY26</t>
  </si>
  <si>
    <t>PPR REPORT _ FVN IOTBU</t>
  </si>
  <si>
    <t>Setup</t>
  </si>
  <si>
    <t>Trax IE-3400H-16FT-A</t>
  </si>
  <si>
    <t>68-102248</t>
  </si>
  <si>
    <t>The operator failed to fully install the power cable due to ware, 6pcs. Causing the unit cannot boot rommon.</t>
  </si>
  <si>
    <t>TE replaced any faulty or worn power cables.</t>
  </si>
  <si>
    <t>WK4 Q1FY26</t>
  </si>
  <si>
    <t>Petra IE-3300-8P2S-A</t>
  </si>
  <si>
    <t>68-101989</t>
  </si>
  <si>
    <t>FVH2941LG7F
FVH2942LEK9</t>
  </si>
  <si>
    <t>SYSTEM LED TEST. FVH2941LG7F ,Operator should have scanned R (red), but scanned A (amber) instead, resulting in failure. FVH2942LEK9,Dropped console after testing Button, resulting in failure.</t>
  </si>
  <si>
    <t>Enhance training for new employees, verifying correctness before scanning.Performing process optimization, adding idiot-proof checkpoints.</t>
  </si>
  <si>
    <t>WK12 Q1FY26</t>
  </si>
  <si>
    <t>Sonic Petra IE-3500-8P3S-E</t>
  </si>
  <si>
    <t>68-104311</t>
  </si>
  <si>
    <t>Operator. PUSH BUTTON TEST Operator did not press the reset button for more than 5 seconds, causing the test to fail.</t>
  </si>
  <si>
    <t>production line leader re-training for operators.</t>
  </si>
  <si>
    <t>WK11 Q3FY26</t>
  </si>
  <si>
    <t>Sumatra IR8340-K9</t>
  </si>
  <si>
    <t>HEATER TEST LTHV failure due to MFG heater assembly variation.  Improve thermal pad placement for heater assembly.</t>
  </si>
  <si>
    <t>PE to update the SOP by adding the heating step and clearly defining the thermal pad location.</t>
  </si>
  <si>
    <t>WK3 Q4FY26</t>
  </si>
  <si>
    <t>LED TEST failure due to incorrect handling during the connection of the main board to the LED board, the flat cable was defective.</t>
  </si>
  <si>
    <t xml:space="preserve"> Retrain operators add a detailed work instruction and visual reference in the SOP.</t>
  </si>
  <si>
    <t xml:space="preserve"> After disassembling the top cover, the power cable was found pressing against the PCBA. Reassembled the power cable and resolved the issue.</t>
  </si>
  <si>
    <t>Require the OP to secure the power cable with a clip to prevent it from touching the PCBA. Added a detailed image to the SOP to remind the OP.</t>
  </si>
  <si>
    <t xml:space="preserve">Caused by assemble steps of the heater, operator  pre-press gap filler which caused tensile load  on lead wire and sleeve. </t>
  </si>
  <si>
    <t>Trained operator and update SOP. Create a fixture to assist the operator during assembly</t>
  </si>
  <si>
    <t>WK4 Q4FY26</t>
  </si>
  <si>
    <t>A wiring issue with the power outlet caused a power loss to the chamber and all connected UUTs.</t>
  </si>
  <si>
    <t>Facility maintenance inspected the area, identified the faulty outlet, and replaced it.</t>
  </si>
  <si>
    <t>The console cable is unstable, resulting in no response after running commands.</t>
  </si>
  <si>
    <t>The test passed after reseating the console cable. Keep monitor.</t>
  </si>
  <si>
    <t>IR8140H-K9</t>
  </si>
  <si>
    <t>FDO2752J70L
FDO2752J89P
FDO2753J00F</t>
  </si>
  <si>
    <t>Booth damaged by use, the sliding carriage where the guard slides broke</t>
  </si>
  <si>
    <t>Supplier to repair the equipment</t>
  </si>
  <si>
    <t>FGU — Flex</t>
  </si>
  <si>
    <t>PRR IOTBU FGU DF Cabo</t>
  </si>
  <si>
    <t>FDO2801J7G8</t>
  </si>
  <si>
    <t>Operator missed to put an extra battery that was in the order.</t>
  </si>
  <si>
    <t>Put an extra battery in an order.</t>
  </si>
  <si>
    <t>FDO2801J6BU
FDO2801J6BL</t>
  </si>
  <si>
    <t>Linked item assembled in a different unit, manufacturing investigation requested, and request to disassemble and re-assemble with the correct items.</t>
  </si>
  <si>
    <t>FDO2801J7HN
FDO2752J9UJ
FDO2801J6N0</t>
  </si>
  <si>
    <t>Assembly station error, does not send complete genealogy, issue escalated to IT and product support.</t>
  </si>
  <si>
    <t>FDO2801J6LZ
FDO2753J0SK
FDO2809J06Z</t>
  </si>
  <si>
    <t>Power cable incorrectly connected during testing.</t>
  </si>
  <si>
    <t>FDO2802J888
FDO2809J0F6</t>
  </si>
  <si>
    <t>Coupled battery serial does not match the serial read in idprom.</t>
  </si>
  <si>
    <t>FDO2753J001</t>
  </si>
  <si>
    <t>Operator removes the unit before the test is finished and it fails.</t>
  </si>
  <si>
    <t>Personnel given feedback to execute the test correctly.</t>
  </si>
  <si>
    <t>FDO2811J1J9
FDO2811J1HS
FDO2811J0P9</t>
  </si>
  <si>
    <t>Operator does not perform connections properly.</t>
  </si>
  <si>
    <t>Feedback given to personnel to validate connections before saying yes to the test.</t>
  </si>
  <si>
    <t>FDO2801J6TT</t>
  </si>
  <si>
    <t>Assembly with partial SN sending problems, deconfigured and sent back to assembly for correct coupling.</t>
  </si>
  <si>
    <t>Test</t>
  </si>
  <si>
    <t>FDO2802J8BT
FDO2801J6L4
FDO2802J8G7
FDO2801J6Z7</t>
  </si>
  <si>
    <t>Hipot marks GND test &gt;100 mH due to communication error, validating possibility of hipot ping response with Cisco before testing.</t>
  </si>
  <si>
    <t>FDO2813J091</t>
  </si>
  <si>
    <t>Operator erroneously runs a unit without previously validating it manually, reported that units accumulated and they got confused.</t>
  </si>
  <si>
    <t>FDO2812J2HK</t>
  </si>
  <si>
    <t>Married data error in Assembly.</t>
  </si>
  <si>
    <t>FDO2812J1LZ
FDO2812J24U
FDO2812J2KL
FDO2811J0GT
FDO2810J20F</t>
  </si>
  <si>
    <t>Overheating detected in power cable after several test cycles, potentially causing out-of-parameter performance.</t>
  </si>
  <si>
    <t>FDO2812J282</t>
  </si>
  <si>
    <t>Operator forgot to connect the internal PSU ground cable.</t>
  </si>
  <si>
    <t>Unit opened and assembly error detected.</t>
  </si>
  <si>
    <t>FDO2812J2H4</t>
  </si>
  <si>
    <t>Hipot ground cable hot (out of parameters).</t>
  </si>
  <si>
    <t>Terminal replaced with more robust 1200w cable.</t>
  </si>
  <si>
    <t>FDO2813J0P9</t>
  </si>
  <si>
    <t>Operator did not fully connect the cable in the connector.</t>
  </si>
  <si>
    <t>Inserted completely and retest performed.</t>
  </si>
  <si>
    <t>FDO2812J2HD
FDO2812J20G</t>
  </si>
  <si>
    <t>Item in genealogy not linked to the major PID in Cesium.</t>
  </si>
  <si>
    <t>FDO2812J2T6</t>
  </si>
  <si>
    <t>Item not scanned inside ATO.</t>
  </si>
  <si>
    <t>Assembly resent to link the module.</t>
  </si>
  <si>
    <t>FDO2813J7HU
FDO2813J0JT
FDO2813J671</t>
  </si>
  <si>
    <t>A decrease pressure detected, Line pressure generated outside air volume parameter range (48 to 56 PSI).</t>
  </si>
  <si>
    <t>FDO2814J04K
FDO2813J7HG</t>
  </si>
  <si>
    <t xml:space="preserve">Error responding to temporary replacement of supervisor for key reinstallation. </t>
  </si>
  <si>
    <t>Personnel given feedback not to respond to test prompts and notify tech.</t>
  </si>
  <si>
    <t>FDO2813J0HJ</t>
  </si>
  <si>
    <t>Operator places unit poorly in the nest, causing a presence sensor failure.</t>
  </si>
  <si>
    <t>FDO2813J0D1</t>
  </si>
  <si>
    <t>Operator did not remove the screw for production unit retest.</t>
  </si>
  <si>
    <t>Staff informed of changes and notified of the correct procedure.</t>
  </si>
  <si>
    <t>FDO2814J009</t>
  </si>
  <si>
    <t>Equipment updated sensor programming as independent input.</t>
  </si>
  <si>
    <t>Updating the block calling automatic server commands; block renamed to call the same commands.</t>
  </si>
  <si>
    <t>FDO2813J62K
FDO2813J678</t>
  </si>
  <si>
    <t>Equipment with hose air leak.</t>
  </si>
  <si>
    <t>Provisional maintenance and repair while awaiting provider for general maintenance.</t>
  </si>
  <si>
    <t>FDO2813J004</t>
  </si>
  <si>
    <t>Unit poorly connected, ground cable not connected.</t>
  </si>
  <si>
    <t>Feedback given to assembly to validate material in line.</t>
  </si>
  <si>
    <t>FDO2818J116</t>
  </si>
  <si>
    <t>Operation error when answering "yes" prompt without validating chassis connections, disconnected ground cable detected.</t>
  </si>
  <si>
    <t>Validated with education staff, feedback to personnel.</t>
  </si>
  <si>
    <t>FDO2819J8UJ</t>
  </si>
  <si>
    <t>Network cable disconnected, software download blocked.</t>
  </si>
  <si>
    <t>Feedback given to personnel.</t>
  </si>
  <si>
    <t>FDO2824J808</t>
  </si>
  <si>
    <t>Operator ran the unit with emergency stop active.</t>
  </si>
  <si>
    <t>FDO2819J2UH
FDO2819J2TT
FDO2824J84P
FDO2821J8NJ
FDO2825J017</t>
  </si>
  <si>
    <t>Hipot equipment shows intermittent input impedance failures during test; PSU failure.</t>
  </si>
  <si>
    <t>Awaiting to replace Hipot.</t>
  </si>
  <si>
    <t>FDO2837J9PL</t>
  </si>
  <si>
    <t>Operating personnel did not remove unit and started test with error on screen.</t>
  </si>
  <si>
    <t>Personnel given feedback.</t>
  </si>
  <si>
    <t>FDO2822J04D
FDO2831J00D
FDO2838J771
FDO2838J4HN
FDO2822J04J
FDO2839J4G4</t>
  </si>
  <si>
    <t>Serial on label does not match programmed serial in memory.</t>
  </si>
  <si>
    <t>Material sent as RMA.</t>
  </si>
  <si>
    <t>FDO2839J41F,FDO2826J0GK,FDO2826J0SF,FDO2826J0JB,FDO2826J0GH,FDO2826J0DT,FDO2822J04D,FDO2839J2UL</t>
  </si>
  <si>
    <t>Hipot equipment with damaged power supply</t>
  </si>
  <si>
    <t>Awaiting equipment change for start of quarter Juan V / Gerardo A.</t>
  </si>
  <si>
    <t>Katar C9800-F-K9</t>
  </si>
  <si>
    <t>74-121499-03</t>
  </si>
  <si>
    <t>FCL29370005</t>
  </si>
  <si>
    <t>Cable not connected well before UUT testing.</t>
  </si>
  <si>
    <t>Operator training</t>
  </si>
  <si>
    <t>PPR Report _ FOXCONN WNBU</t>
  </si>
  <si>
    <t xml:space="preserve"> C8500-12X=</t>
  </si>
  <si>
    <t>TTM291002RR, TTM291002RT</t>
  </si>
  <si>
    <t xml:space="preserve">Deviation label quantity mismatch and no foolproof (POKA-YOKE) process control at NCB for special builds. </t>
  </si>
  <si>
    <t>permanent creation of printing center with authorized printing and reprints; enhance FITS system validation; update FMEA and expand process control to NCB DF site</t>
  </si>
  <si>
    <t>APD-1133</t>
  </si>
  <si>
    <t>Failure % in Report</t>
  </si>
  <si>
    <t>SCQO REPORT 01-01-24 to 07-21-26.xls</t>
  </si>
  <si>
    <t>C8500-12X4QC=</t>
  </si>
  <si>
    <t>TTM291000BN</t>
  </si>
  <si>
    <t>Missing deviation label on physical unit due to lack of process control</t>
  </si>
  <si>
    <t>73-19739-02</t>
  </si>
  <si>
    <t>FOX2811P83D, FOX2805P5J7</t>
  </si>
  <si>
    <t>Improper connector seating tool design causing lifted connector pins and unstable connection</t>
  </si>
  <si>
    <t>Replace seating tool; create new work instructions and tooling design guidelines</t>
  </si>
  <si>
    <t>CE-1514</t>
  </si>
  <si>
    <t>5/27/2024; 6/20/2024</t>
  </si>
  <si>
    <t>IR8140H-K9; Cabo</t>
  </si>
  <si>
    <t>No or improper process control causing multiple assembly and installation issues</t>
  </si>
  <si>
    <t>Adjust and correct current process and inspection; implement new process improvements; PFMEA completed</t>
  </si>
  <si>
    <t>APD-1097</t>
  </si>
  <si>
    <t>73-19736-04</t>
  </si>
  <si>
    <t>FOX2835P1HA</t>
  </si>
  <si>
    <t>Unable to console, No lights on ports, fans making noise. A short circuit was found on the power converter control component caused by workmanship, which created the short circuit condition.</t>
  </si>
  <si>
    <t>Removal of the faulty device cleared the short circuit; the device and PCB were found to be normal afterward.</t>
  </si>
  <si>
    <t>FA-0814664</t>
  </si>
  <si>
    <t>FA CASE REPORT _ SRGBU FA Case Details 2.xlsx</t>
  </si>
  <si>
    <t>73-19025-06</t>
  </si>
  <si>
    <t>TTM284501MW</t>
  </si>
  <si>
    <t>Fo0/2/0 port down, SFP not connecting. The issue was due to a defective component causing the bad port.</t>
  </si>
  <si>
    <t>The problem was resolved by replacing the affected chassis.</t>
  </si>
  <si>
    <t>FA-0807899</t>
  </si>
  <si>
    <t>C1111X-8P</t>
  </si>
  <si>
    <t>700-109389-02</t>
  </si>
  <si>
    <t>FGL2917L5W4</t>
  </si>
  <si>
    <t>Rattling noise and mechanical defect. Workmanship issue causing an internal component to be broken or detached.</t>
  </si>
  <si>
    <t>The case was closed as fault isolated; Cisco Failure Analysis policy pursues root cause and corrective action with the factory.</t>
  </si>
  <si>
    <t>FA-0815959</t>
  </si>
  <si>
    <t>C1111-8P</t>
  </si>
  <si>
    <t>FGL2941L3DE</t>
  </si>
  <si>
    <t>Broken tab on rear panel preventing fixation. Workmanship defect causing a broken tab on the rear panel.</t>
  </si>
  <si>
    <t>Case closed as fault isolated; root cause investigation and corrective action pursued with factory.</t>
  </si>
  <si>
    <t>FA-0873075</t>
  </si>
  <si>
    <t>C8475-G2</t>
  </si>
  <si>
    <t>73-20684-08</t>
  </si>
  <si>
    <t>FLM2948115H</t>
  </si>
  <si>
    <t>USB C port unable to plug in:workmansip defect causing misalignment due to a bowed PCBA edge and improperly seated screw.</t>
  </si>
  <si>
    <t xml:space="preserve"> Root cause isolated; corrective action pursued with component suppliers.</t>
  </si>
  <si>
    <t>FA-0890488</t>
  </si>
  <si>
    <t>C8200-1N-4T</t>
  </si>
  <si>
    <t>FJC28081RPE</t>
  </si>
  <si>
    <t>Units tested with a NIM that have a failure registered.</t>
  </si>
  <si>
    <t>Unit send to repair technician to capture the repair data.</t>
  </si>
  <si>
    <t>VG420-144FXS</t>
  </si>
  <si>
    <t>74-124585-01</t>
  </si>
  <si>
    <t>FJC29271BYS; FJC29351GJ</t>
  </si>
  <si>
    <t>Ports randomly shutting down: Incomplete mating of daughter card signal connectors causing port link down failure.</t>
  </si>
  <si>
    <t>Case closed as workmanship/mechanical; root cause investigation and corrective action pursued with component suppliers.</t>
  </si>
  <si>
    <t>FA-0895725</t>
  </si>
  <si>
    <t>C1121-4P++</t>
  </si>
  <si>
    <t>FJC280517GX</t>
  </si>
  <si>
    <t>POE assembly, reseated and pass.
Failure status: CND</t>
  </si>
  <si>
    <t>Retraining the personnel regarding the POE placement in the ASSY process.</t>
  </si>
  <si>
    <t>C1121X-8P++</t>
  </si>
  <si>
    <t>FJC280510B1</t>
  </si>
  <si>
    <t>Wrong option S/N scanned</t>
  </si>
  <si>
    <t>Retraining the personnel in the scanning of the options.</t>
  </si>
  <si>
    <t>ISR4451-X/K9</t>
  </si>
  <si>
    <t>FJC280613V5</t>
  </si>
  <si>
    <t>Unit was not detecting module SM-X-6X1G since was not inserted flush in to slot.
Failure status: CND</t>
  </si>
  <si>
    <t>Retraining the personnel of third shift regarding the DIMM placement if the memories in the ASSY process.</t>
  </si>
  <si>
    <t>C1121-8P++</t>
  </si>
  <si>
    <t>FJC28061BNS</t>
  </si>
  <si>
    <t>Unit was not detecting module ISR-1100-POE4 since was not inserted flush in to slot.
Failure status: CND</t>
  </si>
  <si>
    <t>ISR4431/K9</t>
  </si>
  <si>
    <t>FJC280611NE</t>
  </si>
  <si>
    <t>Memory assembly issue.
Failure status: CND</t>
  </si>
  <si>
    <t>FJC280712ZP</t>
  </si>
  <si>
    <t>FJC2809147V</t>
  </si>
  <si>
    <t>Memory assembly issue.</t>
  </si>
  <si>
    <t>FJC28081QWF</t>
  </si>
  <si>
    <t>FJC28091A41</t>
  </si>
  <si>
    <t>NIM not assembled flush in to chassis</t>
  </si>
  <si>
    <t>Retraining the personnel of third shift regarding the NIM placement if the memories in the ASSY process.</t>
  </si>
  <si>
    <t>FJC28091P6D</t>
  </si>
  <si>
    <t>Unit was not connected properly in to net cables (inverted)</t>
  </si>
  <si>
    <t>Retraining the personnel about the units connection.</t>
  </si>
  <si>
    <t>ISR4451-X-SEC/K9</t>
  </si>
  <si>
    <t>FJC28091BPP</t>
  </si>
  <si>
    <t>FJC28121F07</t>
  </si>
  <si>
    <t>Unit was not connected properly in to net cables (inverted).</t>
  </si>
  <si>
    <t>FJC28101VQ2</t>
  </si>
  <si>
    <t>FJC281314DM</t>
  </si>
  <si>
    <t>Issue in hipot station related to door not closed, operator issue.</t>
  </si>
  <si>
    <t>Production to ensure the door is perfectly closed.</t>
  </si>
  <si>
    <t>C1100TG-1N32A</t>
  </si>
  <si>
    <t>FJC28111DC0</t>
  </si>
  <si>
    <t>Wrong input from operator. Number of LED was not correct.
Failure status: CND</t>
  </si>
  <si>
    <t>Retraining to operators in the LED test.</t>
  </si>
  <si>
    <t>C1100TGX-1N24P32A</t>
  </si>
  <si>
    <t>FJC28111FC8</t>
  </si>
  <si>
    <t>NIM-4FXO have 2 serial numbers, one in top, one in bottom, operators are scanning the wrong one.
Failure status: CND</t>
  </si>
  <si>
    <t>Retraining the personnel about the NIM scanning.</t>
  </si>
  <si>
    <t>ISR1100-4G</t>
  </si>
  <si>
    <t>FJC281214AY</t>
  </si>
  <si>
    <t>Unit was aborted by operator.
Failure status: real failure.</t>
  </si>
  <si>
    <t>Retraining the personnel about the units abortion.</t>
  </si>
  <si>
    <t>FJC281314BP</t>
  </si>
  <si>
    <t>FJC28141NY2</t>
  </si>
  <si>
    <t>Unit was not connected properly.</t>
  </si>
  <si>
    <t>FJC281519MN</t>
  </si>
  <si>
    <t>FJC28131LM9</t>
  </si>
  <si>
    <t>Port FXS board assembly issue by operator.
Failure status: real failure.</t>
  </si>
  <si>
    <t>Retraining the personnel about the FXS boards.</t>
  </si>
  <si>
    <t>VG420-84FXS/6FXO</t>
  </si>
  <si>
    <t>FJC28141DA1</t>
  </si>
  <si>
    <t>PVDM4-64=</t>
  </si>
  <si>
    <t>FOC2811003C</t>
  </si>
  <si>
    <t>PVDM assembly issue by operator.
Failure status: real failure.</t>
  </si>
  <si>
    <t>Retraining the personnel about the PVDM boards.</t>
  </si>
  <si>
    <t>FJC28191LQF, FJC28191DGL</t>
  </si>
  <si>
    <t>Resistor R4715 was damaged—one unit had the resistor dropped onto the board—causing the out-of-box SFP-port failures.</t>
  </si>
  <si>
    <t>Replace the damaged resistor as needed and create a FARC with manufacturing to address the assembly damage.</t>
  </si>
  <si>
    <t>FA-0754856</t>
  </si>
  <si>
    <t>FA CASE REPORT _ SRGBU FA Case Details 2.xlsx | input</t>
  </si>
  <si>
    <t>FJC281919UU</t>
  </si>
  <si>
    <t>Unit was not connected properly, reversed net cables.</t>
  </si>
  <si>
    <t>Retraining the personnel about the units connection. Add SOP to show operator. See if is possible to add this step to presecuence</t>
  </si>
  <si>
    <t>FJC28151LBX</t>
  </si>
  <si>
    <t>TTM2748034Z</t>
  </si>
  <si>
    <t>assembly issue, FAN, SSD, etc.
Failure status: real failure.</t>
  </si>
  <si>
    <t>Retraining the personnel about the module assembly.</t>
  </si>
  <si>
    <t>TTM2807007F</t>
  </si>
  <si>
    <t>C1161X-8P++</t>
  </si>
  <si>
    <t>FJC28181PWT</t>
  </si>
  <si>
    <t>C1121X-8P</t>
  </si>
  <si>
    <t>FJC281812ML</t>
  </si>
  <si>
    <t>Network cables not connected in the correct slot.
Failure status: CND</t>
  </si>
  <si>
    <t>Retraining the personnel about the cable connections.</t>
  </si>
  <si>
    <t>FJC28251760</t>
  </si>
  <si>
    <t>The power-module connector CN2 was not properly inserted, causing a dead-on-arrival no-power condition.</t>
  </si>
  <si>
    <t>Reinsert and secure CN2, verify normal boot, and send the case for manufacturing root-cause corrective action.</t>
  </si>
  <si>
    <t>FA-0722233</t>
  </si>
  <si>
    <t>FJC28191T7L</t>
  </si>
  <si>
    <t>MB assembly issue by operator.
Failure status: real failure.</t>
  </si>
  <si>
    <t>Retraining the personnel about the MB.
See</t>
  </si>
  <si>
    <t>FJC28191B4M</t>
  </si>
  <si>
    <t>Cable RJ45 disconnected.
Failure status: CND</t>
  </si>
  <si>
    <t>Operators were retrained in this station.</t>
  </si>
  <si>
    <t>FJC28201D8P</t>
  </si>
  <si>
    <t>2MB board assembly issue by operator.
Failure status: real failure.</t>
  </si>
  <si>
    <t xml:space="preserve">Retraining the personnel about the 2MB assembly.
</t>
  </si>
  <si>
    <t>FJC282117A1</t>
  </si>
  <si>
    <t>C9800-40-K9</t>
  </si>
  <si>
    <t>FOX2802P49D</t>
  </si>
  <si>
    <t>Assembly issue, FAN, SSD, etc.
Failure status: real failure.</t>
  </si>
  <si>
    <t>C8200-UCPE-1N8</t>
  </si>
  <si>
    <t>FJC28241MAP</t>
  </si>
  <si>
    <t>Units tested in a wrong station since is not possible no know the NFVIS of the PO.
Failure status: CND</t>
  </si>
  <si>
    <t>Add to pre sequence the verification of the NFVIS.</t>
  </si>
  <si>
    <t>FJC28241F9V</t>
  </si>
  <si>
    <t>FJC28241NEZ</t>
  </si>
  <si>
    <t>Retraining the personnel about the MB.
A process will be added to reseat the board 2 times to ensure electrical contact.
All orders will run in fist shift and the assembly process will be reviewed by a QE inspector.</t>
  </si>
  <si>
    <t>TTM280700ZT</t>
  </si>
  <si>
    <t>TE add a prompt with password in order ensure the TE technician can review the unit prior any manipulation.</t>
  </si>
  <si>
    <t>C9800-80-K9</t>
  </si>
  <si>
    <t>FOX2803P20W</t>
  </si>
  <si>
    <t>C888-K9</t>
  </si>
  <si>
    <t>FJC282612N3</t>
  </si>
  <si>
    <t>Units not able to boot the IOS, this PID in EOL.
Failure status: CND</t>
  </si>
  <si>
    <t>Product in EOL.</t>
  </si>
  <si>
    <t>ENCS5412/K9</t>
  </si>
  <si>
    <t>FJC28271TCA</t>
  </si>
  <si>
    <t>Products of line 1 run in line 2.
Failure status: CND</t>
  </si>
  <si>
    <t>A prompt with password was added in order to show the failure to TE and give an opportunity to correct the issue.</t>
  </si>
  <si>
    <t>VG310</t>
  </si>
  <si>
    <t>FJC28271XD3</t>
  </si>
  <si>
    <t>Unit was not detecting module PVDM-32 since was not inserted flush in to slot.
Failure status: CND</t>
  </si>
  <si>
    <t>FJC28281586</t>
  </si>
  <si>
    <t>Wrong input from operator. Number of LED was not correct.</t>
  </si>
  <si>
    <t>FJC28291B1N</t>
  </si>
  <si>
    <t>FJC2829173X</t>
  </si>
  <si>
    <t>Wrong input from operator. Number of LED was not correct</t>
  </si>
  <si>
    <t>FJC2830165S</t>
  </si>
  <si>
    <t>Unit disconnected in a wrong cell
Failure status: CND</t>
  </si>
  <si>
    <t>FJC28311AAC</t>
  </si>
  <si>
    <t>ISR1100-6G</t>
  </si>
  <si>
    <t>FJC28311REK</t>
  </si>
  <si>
    <t>Units were aborted by operator.
Failure status: CND</t>
  </si>
  <si>
    <t>Password of the SEC account was changed in order to avoid the units aborted.</t>
  </si>
  <si>
    <t>ISR1100X-4G</t>
  </si>
  <si>
    <t>FJC28311L3Y</t>
  </si>
  <si>
    <t>ISR1100-4GLTENA</t>
  </si>
  <si>
    <t>FJC28311BE0</t>
  </si>
  <si>
    <t>Units were tested in hipot with out FST (data show units  pass from ASSY to Hipot, bypassing FST).
Failure status: CND</t>
  </si>
  <si>
    <t>Script will be updated to place the area check to pre sequence.</t>
  </si>
  <si>
    <t>FJC283119B0</t>
  </si>
  <si>
    <t>Memory assembly issue, operators place more or less memory that required by the line ID, this due the operators does not wait for he system to change the traveler.
Failure status: CND</t>
  </si>
  <si>
    <t>Retraining to operator to review the traveler they are seeing corresponds with the unit.</t>
  </si>
  <si>
    <t>FJC28321HWV</t>
  </si>
  <si>
    <t>Units were tested in a ATE that was invalidation by TE.
Failure status: CND</t>
  </si>
  <si>
    <t>TE stop the test and to finish the validation.</t>
  </si>
  <si>
    <t>FJC28321Z80</t>
  </si>
  <si>
    <t>FJC28331C6S</t>
  </si>
  <si>
    <t>Retraining the personnel about the MB.
A process will be added to reseat the board 2 times to ensure electrical contact.
Test the use of superclean in this process.</t>
  </si>
  <si>
    <t>FJC28351KS7</t>
  </si>
  <si>
    <t>Fan not connected.</t>
  </si>
  <si>
    <t>Retraining to operator un fan assembly.</t>
  </si>
  <si>
    <t>C1121-8PLTEP++</t>
  </si>
  <si>
    <t>FJC283413DX</t>
  </si>
  <si>
    <t>Unit was not detecting module ISR-1100-POE4 since was not inserted flush in to slot.</t>
  </si>
  <si>
    <t>FJC283511TL</t>
  </si>
  <si>
    <t>Memory assembly issue, operators place more or less memory that required by the line ID, this due the operators does not wait for he system to change the traveler.</t>
  </si>
  <si>
    <t>FJC28361V1S</t>
  </si>
  <si>
    <t>Unit run in a wrong line.
Failure status: real failure.</t>
  </si>
  <si>
    <t>In monitor, printer was reviewed and no issues were found.</t>
  </si>
  <si>
    <t>FJC283611YQ</t>
  </si>
  <si>
    <t>Communication issue between FXS board and mainboard.</t>
  </si>
  <si>
    <t>Implement a cleaning process to use ionized air for the mainboard connectors and alcohol to clean the PCI-E connector of the FXS board.
A process was added to reseat the board 3 times to ensure electrical contact.
A cleaning process was implemented using connectors for the PCI-E of the FXS board, this by connecting 3 times, at the moment 15 units with no issues.
Add the use of the contact cleaner for the FXS board PCI-E connector.</t>
  </si>
  <si>
    <t>FOX2805P3ST</t>
  </si>
  <si>
    <t>FJC2835218B</t>
  </si>
  <si>
    <t>Fan not connected.
Failure status: CND</t>
  </si>
  <si>
    <t>FJC28361SAS</t>
  </si>
  <si>
    <t>Wrong AC cable not fully connected, then the unit failed.
Failure status: Fail</t>
  </si>
  <si>
    <t>Retraining the personnel about the PS connections.
Use UMT accounts for every shift.
TE to improve test script to give a second chance.</t>
  </si>
  <si>
    <t>FJC283710N3</t>
  </si>
  <si>
    <t>Production was informed about the issue and changed to line 1.
Place a Visual aid to show the models that can run in every line.</t>
  </si>
  <si>
    <t>FJC28371580</t>
  </si>
  <si>
    <t>Retraining to operator in fan assembly.</t>
  </si>
  <si>
    <t>NIM-LTEA-EA</t>
  </si>
  <si>
    <t>FOC28272W1F</t>
  </si>
  <si>
    <t>NIM was not connected flush in to golden chassis.
Failure status: CND</t>
  </si>
  <si>
    <t>Retraining to operator in NIM assembly.</t>
  </si>
  <si>
    <t>FJC283818E3</t>
  </si>
  <si>
    <t>Memory assembly issue, operators place more memory that required by the line ID, this due the operators does not wait for he system to change the traveler.
Failure status: CND</t>
  </si>
  <si>
    <t>FJC28371NXY</t>
  </si>
  <si>
    <t>Production was informed about the issue and changed to line 1.</t>
  </si>
  <si>
    <t>FJC28381A8P</t>
  </si>
  <si>
    <t>Unit does not download an image due a bad cable connection.
Failure stations: CND</t>
  </si>
  <si>
    <t>Retraining the personnel in the connection of the cables.
UMT account, open a case today (9/27) to correct the email account. To start test on 10/04.</t>
  </si>
  <si>
    <t>FJC28381U70</t>
  </si>
  <si>
    <t>NIM not assembled flush in to chassis.
Failure status: CND</t>
  </si>
  <si>
    <t>FJC2838178J</t>
  </si>
  <si>
    <t>In test TAN was not obtained, for this the script have a prompt 3 retries, operator does not answered correctly this prompt instead to call TE to solve the problem.
Failure status: real failure.</t>
  </si>
  <si>
    <t>Retraining the personnel about the prompts, they are not supposed to answer this one, they need to call TE:</t>
  </si>
  <si>
    <t>FJC28391QXZ</t>
  </si>
  <si>
    <t>VG410-24FXS</t>
  </si>
  <si>
    <t>FJC28391VZV</t>
  </si>
  <si>
    <t>Power cycle form the ATE need to be refurbished by changing the fans, PO in process, quote already send to TDE.
Operators disconnect unit in a wrong cell (9 and 11),</t>
  </si>
  <si>
    <t>Place a PO to change the fans of the power cycle.
Need to review the overtime plan with Oscar Diaz.
Review the maintenance plan for this stations (long term).
TE is refurbishing the stations to ensure the cables can not be used in a wrong cell.</t>
  </si>
  <si>
    <t>C8300-1N1S-4T2X=</t>
  </si>
  <si>
    <t>FLM284010AE</t>
  </si>
  <si>
    <t>The LED-card flat cable was inserted but its connector lock was left loose during manufacturing, producing the reported fan/LED symptom.</t>
  </si>
  <si>
    <t>Reconnect and lock the cable; ambient diagnostics, 100 power cycles, and three days of traffic testing then passed, and the unit was routed to DGI.</t>
  </si>
  <si>
    <t>FA-0802000</t>
  </si>
  <si>
    <t>FLX282800Z8</t>
  </si>
  <si>
    <t>Connection of AC cable in a wrong cell.
Failure status: CND</t>
  </si>
  <si>
    <t xml:space="preserve">Implement a color code for the AC power cables in order to ensure </t>
  </si>
  <si>
    <t>UCS-E160S-M3/K9=</t>
  </si>
  <si>
    <t>FOC2829384W</t>
  </si>
  <si>
    <t>To types of issues
1.- DIMM is not connected properly. Is hard for to operator to press the DIMM in the slot.
2.- Wrong connection of data cable. looks connected but is not placed flush in to slot.
Script can not be modified to prompt operator about connections since the script of the Barney area is not being updated since 2022. There is not prod opp team assigned to this area, the script development need to be done locally.
Failure status: CND</t>
  </si>
  <si>
    <t>1.- PE provide a tool to place the DIMM. Review the fixture in the process on W13.
2.- Review the possibility to update the script of the Barney area. Damian to review with Ray Lam.
3.- Provide a sample to debug in next quarter.
4.- TE will validate the script after Q-end.
5.- Develop a FAI for low runners, at this moment is identified: Wanlan, APP, ENCS, VG420.
6.- Ensure the personnel on all shifts are trained and use the UMT account.</t>
  </si>
  <si>
    <t>FLX28280059</t>
  </si>
  <si>
    <t>Optical modules not placed in the correct slot inducing the failures.
Failure status: CND</t>
  </si>
  <si>
    <t>Retraining was performed to show the operators the correct placement of the modules.</t>
  </si>
  <si>
    <t>FJC28401QVD</t>
  </si>
  <si>
    <t>The USB port was mechanically deformed, causing the reported USB malfunction.</t>
  </si>
  <si>
    <t>Repair or replace the USB connector and create a FARC for manufacturing corrective action.</t>
  </si>
  <si>
    <t>FA-0749881</t>
  </si>
  <si>
    <t>FJC28421HHM</t>
  </si>
  <si>
    <t>FLX283600Q2</t>
  </si>
  <si>
    <t>Unit not placed correctly in the station, need to be placed in the correct way to be detected by the RFID reader.
Failure status: CND</t>
  </si>
  <si>
    <t>Retraining to operator in the unit placement.
The SOP to clarify the unit is placed all the way in to the station.
Place a QA alert</t>
  </si>
  <si>
    <t>FJC284713H0</t>
  </si>
  <si>
    <t>FJC284713HT</t>
  </si>
  <si>
    <t>FJC28481C5H</t>
  </si>
  <si>
    <t>Units tested idoes not boot correctly the NFVIS, not related to operation or cables. 
Failure status: CND</t>
  </si>
  <si>
    <t>Fail will be monitored since no evident issue of why the unit fail, all pass retest woth no issues.</t>
  </si>
  <si>
    <t>FJC28481CBD</t>
  </si>
  <si>
    <t>FJC284815SV</t>
  </si>
  <si>
    <t>FJC28491CUG</t>
  </si>
  <si>
    <t>C8300-1N1S-6T=</t>
  </si>
  <si>
    <t>FDO3002M0KQ</t>
  </si>
  <si>
    <t>The cable tie intended to secure the power-switch cable detached and jammed fan P2, preventing rotation and triggering the fan alarm.</t>
  </si>
  <si>
    <t>Replace the fan tray, properly secure the cable tie, and open a manufacturing FARC</t>
  </si>
  <si>
    <t>FA-0918164</t>
  </si>
  <si>
    <t>FJC28511325</t>
  </si>
  <si>
    <t>Incorrect scan of units.
Failure status: CND</t>
  </si>
  <si>
    <t>Monitor production process</t>
  </si>
  <si>
    <t>FJC28461G23</t>
  </si>
  <si>
    <t>FJC28511RRN</t>
  </si>
  <si>
    <t>Fan not connected.
Failure status: rela failure</t>
  </si>
  <si>
    <t>FJC290315PD</t>
  </si>
  <si>
    <t>Communication issue between FXS board and mainboard.
Failure status: real failure.</t>
  </si>
  <si>
    <t>FJC29041DJ5</t>
  </si>
  <si>
    <t>Communication issues in fans due bad connections.
Failure status: CND</t>
  </si>
  <si>
    <t>Retraining the personnel regarding the fan placement if the memories in the ASSY process.</t>
  </si>
  <si>
    <t>FJC2904158R</t>
  </si>
  <si>
    <t>One of the 3 FANs not connected, 0 RPM.</t>
  </si>
  <si>
    <t>Retraining the personnel of all shifts regarding the FAN placement if the memories in the ASSY process.</t>
  </si>
  <si>
    <t>FJC29041UP9</t>
  </si>
  <si>
    <t>Production was informed about the issue and changed to line 1.
ASSY script will be updated, both lines will be able to run all PIDs.</t>
  </si>
  <si>
    <t>C8300-UCPE-1N20</t>
  </si>
  <si>
    <t>FJC29051JLR</t>
  </si>
  <si>
    <t>Scanning issue in SYSASSY that was detected in SYSPB.
Failure status: CND</t>
  </si>
  <si>
    <t>Issue was reviewed in the production meetings, issue in only one unit.</t>
  </si>
  <si>
    <t>NIM-LTEA-EA=</t>
  </si>
  <si>
    <t>FOC285101KD</t>
  </si>
  <si>
    <t>NIM was no placed correctly.
Failure status: CND</t>
  </si>
  <si>
    <t>Retraining the personnel about the order configuration.</t>
  </si>
  <si>
    <t>FJC28511U0R</t>
  </si>
  <si>
    <t>Unit was not placed correctly in he ATE, RFID was not detected.
Failure status: CND</t>
  </si>
  <si>
    <t xml:space="preserve">Retraining the personnel about the placement of the unit in the ATE.
Implement the UMT accounts specific for every shift. </t>
  </si>
  <si>
    <t>ENCS5408/K9</t>
  </si>
  <si>
    <t>FJC29071GG4</t>
  </si>
  <si>
    <t>NIM-LTEA-LA=</t>
  </si>
  <si>
    <t>FOC2904033Q</t>
  </si>
  <si>
    <t>NIM was not scanned in the correct slot induced the failure.
Failure status: CND</t>
  </si>
  <si>
    <t>Retraining in the Barney area related to scanning, this was an issue of one load</t>
  </si>
  <si>
    <t>FJC29031FHJ</t>
  </si>
  <si>
    <t>FJC290915TL</t>
  </si>
  <si>
    <t>Units tested in a wrong line.</t>
  </si>
  <si>
    <t>Retraining the personnel of third shift regarding the line (2) were the units can be tested.</t>
  </si>
  <si>
    <t>FOC29040FKC</t>
  </si>
  <si>
    <t>1.- Units not inserted flush in the slot, captive screw need to be thigten.
2.- Golden chassis have 3 slots, units need to be started almost at the same time. 
Failure status: CND</t>
  </si>
  <si>
    <t>1.- implement the use of an electric screw driver to tight the captive screw.
2.- Operators were informed to start the slots at the same time.</t>
  </si>
  <si>
    <t>FOC29040FY7</t>
  </si>
  <si>
    <t>FJC29071AFR</t>
  </si>
  <si>
    <t>Issue in hipot station related to door not closed, operator issue.
Failure status: CND</t>
  </si>
  <si>
    <t>Production was informed about the issue to ensure the door is perfectly closed.</t>
  </si>
  <si>
    <t>FJC290810G4</t>
  </si>
  <si>
    <t>FJC291218WB</t>
  </si>
  <si>
    <t>TE is defining the PIDs that can be tested by line, with this will be not possible to test a PID in a wrong line.</t>
  </si>
  <si>
    <t>FJC290321E1</t>
  </si>
  <si>
    <t>Units tested in a wrong line.
Failure status: CND</t>
  </si>
  <si>
    <t>FJC291112KU</t>
  </si>
  <si>
    <t>Stations not scanned in order, in APC need to follow the sequence.</t>
  </si>
  <si>
    <t>Retraining the personnel in the new order of the stations, since in AP2 was not required.</t>
  </si>
  <si>
    <t>FJC29131U42</t>
  </si>
  <si>
    <t>Units tested in a wrong mode in the platform of APC, (MC and PC).</t>
  </si>
  <si>
    <t>MC and PC is already in the cell.</t>
  </si>
  <si>
    <t>TTM2842009S</t>
  </si>
  <si>
    <t>FJC29151R4R</t>
  </si>
  <si>
    <t>FJC2913199G</t>
  </si>
  <si>
    <t>FJC29161JZM</t>
  </si>
  <si>
    <t>FJC29181A1Q</t>
  </si>
  <si>
    <t>Review if is possible to add an alert showing the incorrect mode was selected.
Start with the high runners in order to have a schedule for all PIDS, since is a PID by PID change.</t>
  </si>
  <si>
    <t>FJC291814A5</t>
  </si>
  <si>
    <t>Incorrect scan of units.</t>
  </si>
  <si>
    <t>TE add a regex in the script to eliminate scanning errors.</t>
  </si>
  <si>
    <t>FJC29191M69</t>
  </si>
  <si>
    <t>ISR1100X-6G</t>
  </si>
  <si>
    <t>FJC291913SR</t>
  </si>
  <si>
    <t>Retraining to operator the scanning.</t>
  </si>
  <si>
    <t>VG410-48FXS</t>
  </si>
  <si>
    <t>FJC29191PP2</t>
  </si>
  <si>
    <t>FJC29191P7F</t>
  </si>
  <si>
    <t>FJC292211DY</t>
  </si>
  <si>
    <t>Ground was not connected correctly at hipot station.
Failure status: CND</t>
  </si>
  <si>
    <t>TE install clamp to ensure the ground contact.</t>
  </si>
  <si>
    <t>TTM290401YE</t>
  </si>
  <si>
    <t>Units tested in a wrong symbolic link.</t>
  </si>
  <si>
    <t>APC will eliminate the necessity to select different links.</t>
  </si>
  <si>
    <t>TTM290400QD</t>
  </si>
  <si>
    <t>FJC29161369</t>
  </si>
  <si>
    <t>FJC2920185B</t>
  </si>
  <si>
    <t>Units skip an assy station.</t>
  </si>
  <si>
    <t>PM to review the training with the production manager.</t>
  </si>
  <si>
    <t>TTM290901BM</t>
  </si>
  <si>
    <t>Units tested in a wrong symbolic link.
Failure status: CND</t>
  </si>
  <si>
    <t>FJC2923191E</t>
  </si>
  <si>
    <t xml:space="preserve">Wrong SYSASSY process (workflow) causing incomplete process units </t>
  </si>
  <si>
    <t xml:space="preserve"> Minute meeting with production supervisor and production team, to follows correct process </t>
  </si>
  <si>
    <t>FJC292311U0</t>
  </si>
  <si>
    <t>Operator responds to error message (GND test failure)</t>
  </si>
  <si>
    <t>Feedback was given to the production members.</t>
  </si>
  <si>
    <t>VG410-24FXS/4FXO</t>
  </si>
  <si>
    <t>FJC292311BT</t>
  </si>
  <si>
    <t>TE is in process to add a regex in the script to correct the issue.</t>
  </si>
  <si>
    <t>FJC29241HD4</t>
  </si>
  <si>
    <t>FJC29241P2W</t>
  </si>
  <si>
    <t>Wrong input from operator. They does not consult the TE to review the prompt.
Failure status: CND</t>
  </si>
  <si>
    <t>Retraining to operators the prompts</t>
  </si>
  <si>
    <t>C8200-1N-4T=</t>
  </si>
  <si>
    <t>FVT2935L35M</t>
  </si>
  <si>
    <t>The PSU connector had lifted from the motherboard PCBA, preventing the router from powering on.</t>
  </si>
  <si>
    <t>Reseat and secure the PSU connector; subsequent power-on, IOS boot, and ambient diagnostics passed.</t>
  </si>
  <si>
    <t>FVT — Foxconn</t>
  </si>
  <si>
    <t>FA-0924434</t>
  </si>
  <si>
    <t>TTM2914014W</t>
  </si>
  <si>
    <t xml:space="preserve">It found connector RJ45 disconnected </t>
  </si>
  <si>
    <t xml:space="preserve">Place visual aid to indicate the connections of the RJ45 connectors, includes cables and setting of the unit </t>
  </si>
  <si>
    <t>FVT2937L37F</t>
  </si>
  <si>
    <t>A foreign object behind the logo-label area obstructed the LED light path and caused abnormal PSU LED brightness.</t>
  </si>
  <si>
    <t>Send the abnormal label for root-cause analysis and an 8D improvement response</t>
  </si>
  <si>
    <t>FA-0863661</t>
  </si>
  <si>
    <t>74-122703-01</t>
  </si>
  <si>
    <t>FVT2939L2NA</t>
  </si>
  <si>
    <t>Carton and chassis serial number mismatch: Workmanship issue causing serial number mismatch between carton and chassis labels.</t>
  </si>
  <si>
    <t>FVT— Foxconn</t>
  </si>
  <si>
    <t>FA-0874888</t>
  </si>
  <si>
    <t>TEST_SETUP_ISSUE unit failed to download IOS image from tftp due to not connect to SRM server</t>
  </si>
  <si>
    <t>Checked and replaced Ethernet cables.  Retest</t>
  </si>
  <si>
    <t>FJC292718NN</t>
  </si>
  <si>
    <t>Poorly asssembly Process
Failure status: CND</t>
  </si>
  <si>
    <t>C8300-1N1S-4T2X</t>
  </si>
  <si>
    <t>FDO3002M17D</t>
  </si>
  <si>
    <t>A missing heatsink screw location corresponded to a loose screw on the service-module heatsink, indicating a manufacturing assembly defect even though functional diagnostics passed.</t>
  </si>
  <si>
    <t>open a FARC with manufacturing.</t>
  </si>
  <si>
    <t>FA-0901939</t>
  </si>
  <si>
    <t>FJC300710G0</t>
  </si>
  <si>
    <t>Wrong scan, the unit serial number did not match the scan.</t>
  </si>
  <si>
    <t>1. Feedback and re-training to operator in scanning process
2.Ensure to operators make a correct scanning in assembly and the 2 SNs scanned will be match on the moment of the scan</t>
  </si>
  <si>
    <t>Tabei M FAI, discharged to RFID, APC ISR with fault AND units misplaced in RFID box
Failure Status: CND</t>
  </si>
  <si>
    <t xml:space="preserve">Reset ISR due to failure and spoke with production supervisor </t>
  </si>
  <si>
    <t>FJC30091NK4</t>
  </si>
  <si>
    <t>Wrong scanning in assembly line</t>
  </si>
  <si>
    <t>Under analisys</t>
  </si>
  <si>
    <t>FJC30121G1R</t>
  </si>
  <si>
    <t>Wrong scanning in assembly</t>
  </si>
  <si>
    <t>The production supervisor was notified about the incorrect scanning and was asked to provide the operator with information on the correct scanning procedure for the units.</t>
  </si>
  <si>
    <t>Closed</t>
  </si>
  <si>
    <t>FJC29131G8P</t>
  </si>
  <si>
    <t>FJC30141KC6</t>
  </si>
  <si>
    <t>The units were connected incorrectly (cell cables were reversed).</t>
  </si>
  <si>
    <t>The unit was re-tested in SYSFT and can be pass the SYSFT path. Also the production supervisor make a meeting with the personnel of production involved in the opeation to explain the issue "The units were connnected incorrectly"</t>
  </si>
  <si>
    <t xml:space="preserve">
REWORK-FJC</t>
  </si>
  <si>
    <t>They tried to reprint the label when the sysassy process had not yet finished.</t>
  </si>
  <si>
    <t>Feedback was given to the operator by the production supervisor.</t>
  </si>
  <si>
    <t xml:space="preserve">
FJC29321DF9</t>
  </si>
  <si>
    <t>Wrong handling incorrect in the process
Wrong Scanning of the components in ASSY</t>
  </si>
  <si>
    <t>FJC30151TL6</t>
  </si>
  <si>
    <t>Production error due to incorrect scanning of the SN in fst.</t>
  </si>
  <si>
    <t>1. The production supervisor gave a warning to operator of the failure
2. The production supervisor provide a feedback and re-training to all operators
3. Minute of the meeting / Done</t>
  </si>
  <si>
    <t>FJC29211BE3</t>
  </si>
  <si>
    <t>FJC263619AY</t>
  </si>
  <si>
    <t>Failures related to the new version of APC
Case:
INC10360831</t>
  </si>
  <si>
    <t>The previous version was reverted to in APC.</t>
  </si>
  <si>
    <t xml:space="preserve">TE install clamp to ensure the ground contact.
For preventive action it implemented a prompt to request check ground connection by operator </t>
  </si>
  <si>
    <t>FJC29251BD0</t>
  </si>
  <si>
    <t>Incorrect scan of units.
Define the wrong scanning realized by operator to verify the step that realize wrong (To implement corrective actions driving to the incorrect scan)</t>
  </si>
  <si>
    <t>FJC29251UZX</t>
  </si>
  <si>
    <t xml:space="preserve">Employee turnover, affecting 2nd shift </t>
  </si>
  <si>
    <t xml:space="preserve">Check list of daily first piece release, to ensure the correct process follow up realized by quality team and production supervisor </t>
  </si>
  <si>
    <t xml:space="preserve">
C8200L-1N-4T</t>
  </si>
  <si>
    <t xml:space="preserve">
FJC293516G6</t>
  </si>
  <si>
    <t>Failure mode
Bad scanning in FST (incorrect cell scanned), actual failure (VG with problems on the board), missing image (image not available in SRM, requested from Cisco), poor assembly (inventory check failed, assembly or scan mismatch with order)."
Why the unit fail, power outrage.
Troubleshooting: TE review the test logs and found the issue.
Retest: pass</t>
  </si>
  <si>
    <t>Retrainning with the personal about these issues
Training and certifications in process.</t>
  </si>
  <si>
    <t xml:space="preserve">
C1161X-8P++</t>
  </si>
  <si>
    <t xml:space="preserve">
FJC2935189C</t>
  </si>
  <si>
    <t>Failure mode
Units with AC cable reversed or disconnected prematurely.
Why the unit fail, power outrage.
Troubleshooting: TE review the test logs and found the issue.
Retest: pass</t>
  </si>
  <si>
    <t>Retrainning with the personal with the connections of AC Cables
Training and certifications in process.</t>
  </si>
  <si>
    <t>FJC29261NUJ</t>
  </si>
  <si>
    <t xml:space="preserve">25 failures were caused by RFID service.
The remaining were due to poor assembly processes (MC-PC).
</t>
  </si>
  <si>
    <t xml:space="preserve">
RFID Service is monitored and retraining to operator about the assembly process in MC-PC</t>
  </si>
  <si>
    <t>FJC292616RZ</t>
  </si>
  <si>
    <t>RFID service failures</t>
  </si>
  <si>
    <t>RFID Service is monitored</t>
  </si>
  <si>
    <t>FJC29391CFJ</t>
  </si>
  <si>
    <t>Wrong Assembly of HDD
assembled in SLOT 1 when it should have been assembled in SLOT 0</t>
  </si>
  <si>
    <t>Creating SOPs for correctly HDD assembly in SYSFT</t>
  </si>
  <si>
    <t xml:space="preserve">Open </t>
  </si>
  <si>
    <t>FJC29271EEV</t>
  </si>
  <si>
    <t>The Unit not placed correctly in station of RFID</t>
  </si>
  <si>
    <t xml:space="preserve">
RFID Service is monitored</t>
  </si>
  <si>
    <t>FJC29271M44</t>
  </si>
  <si>
    <t>Retraining to operator the Assembly Process</t>
  </si>
  <si>
    <t>TTM2928007N</t>
  </si>
  <si>
    <t>Operator tested units on the wrong machine.</t>
  </si>
  <si>
    <t>Training and feedback for new personnel of Production
Pending meeting and delivery by 3rd shift / Pending of verify per Quality team</t>
  </si>
  <si>
    <t>FLX293100PU</t>
  </si>
  <si>
    <t>Units incorrectly scanned in the system.</t>
  </si>
  <si>
    <t>Training and feeback for the personnel of the stations.
*Quality team will verify the CA and minute of the meeting to production supevisor with the operators.</t>
  </si>
  <si>
    <t>FJC30071GMK</t>
  </si>
  <si>
    <t>The operator was a mistake to wrong scanning the MB in SYSASSY</t>
  </si>
  <si>
    <t>According to meeting with the CFT team in the production floor, PE changed the scanning for the units. Now the operator should be scanning the SN of Chasssis</t>
  </si>
  <si>
    <t>Operator answers fail prompt
Failure status: CND</t>
  </si>
  <si>
    <t>Issue is being monitored by TE.</t>
  </si>
  <si>
    <t>C8231-E-G2</t>
  </si>
  <si>
    <t>FJC30071NZ1</t>
  </si>
  <si>
    <t>They reused board and cloud id already associated with the first parent.</t>
  </si>
  <si>
    <t>FJC30071H87</t>
  </si>
  <si>
    <t>Ground wire incorrectly connected.</t>
  </si>
  <si>
    <t>1. Operator training (3 shift) and for one month the Quality Inspector will check that the operator follows the process in HI-POT</t>
  </si>
  <si>
    <t>FJC30071LDY</t>
  </si>
  <si>
    <t>FAN 2 registred 0RPM</t>
  </si>
  <si>
    <t>In process for Quality Alert to supplier</t>
  </si>
  <si>
    <t xml:space="preserve">The units are normally tested by AP3 and were tested by AP2. Causing the failure
Troubleshooting: TE review the test logs and found the issue.
RETEST: pass after retest. </t>
  </si>
  <si>
    <t>That PID will be removed from the AP2 configuration so that they cannot test that model and it will only be tested by AP3.</t>
  </si>
  <si>
    <t xml:space="preserve">Units incorrectly placed in RFID box
Troubleshooting: TE review the test logs and found the issue.
RETEST: pass after retest. </t>
  </si>
  <si>
    <t xml:space="preserve">Retraining to operator </t>
  </si>
  <si>
    <t>C8235-G2</t>
  </si>
  <si>
    <t>FJC301411BP</t>
  </si>
  <si>
    <t>The unit was not correctly placed in the RFID station.</t>
  </si>
  <si>
    <t>The unit was correctly positioned by the operator after the problem and successfully passed the RFID path
Also the production supervisor make meeting with the personnel of production to explain the issue</t>
  </si>
  <si>
    <t>Retraining the personnel of third shift regarding the line (2) were the units can be tested.
TE to define PÎDs by line, this to don´t allow to run  in a wrong line.</t>
  </si>
  <si>
    <t>FJC30141KK2</t>
  </si>
  <si>
    <t>Production error due to incorrect MB scanning in SYSASSY</t>
  </si>
  <si>
    <t>Under Investigation</t>
  </si>
  <si>
    <t>C8550-G2</t>
  </si>
  <si>
    <t>FJC30221HGG</t>
  </si>
  <si>
    <t>Incorrect scan: they scanned the serial number of a parent device instead of a memory module.</t>
  </si>
  <si>
    <t>FJC302414KM</t>
  </si>
  <si>
    <t>Incorrect scan (they scanned the chassis serial number when it should have been the MB serial number)</t>
  </si>
  <si>
    <t>1. The production supervisor gave a feedback to operator of the failure
2. The production supervisor provide a feedback and re-training to all operators</t>
  </si>
  <si>
    <t>FLX2951027A</t>
  </si>
  <si>
    <t>The PC that sends the POD label is locked up; it was only one unit, but the fault was uploaded to the child units.</t>
  </si>
  <si>
    <t>The PC was restarted and the drives were run through the test again.</t>
  </si>
  <si>
    <t>C1121-4P</t>
  </si>
  <si>
    <t>FVT2920L2VC</t>
  </si>
  <si>
    <t>A heatsink thermal-pad label was left in place during assembly, causing overheating and internal damage to the CPU and other devices across the 3.3 V, 2.5 V, and 1.2 V rails.</t>
  </si>
  <si>
    <t>Close as a workmanship issue, scrap the affected unit, and send the heatsink pad to FARC for manufacturing corrective action.</t>
  </si>
  <si>
    <t>FOC— Foxconn</t>
  </si>
  <si>
    <t>FA-0860982</t>
  </si>
  <si>
    <t>C-SM-16P4M2X=</t>
  </si>
  <si>
    <t>FOC281629Q0</t>
  </si>
  <si>
    <t>Connector J3 was physically damaged, preventing the module from connecting to the motherboard.</t>
  </si>
  <si>
    <t>Replace connector J3 and send the case to B&amp;T for follow-up.</t>
  </si>
  <si>
    <t>FA-0711419</t>
  </si>
  <si>
    <t>FJC283415G8</t>
  </si>
  <si>
    <t>Units were aborted by operator</t>
  </si>
  <si>
    <t>C1121-8P</t>
  </si>
  <si>
    <t>FVT2928L31Y</t>
  </si>
  <si>
    <t>The GigabitEthernet0/1/0 port was damaged during the manufacturing process, causing a persistent link-down condition.</t>
  </si>
  <si>
    <t>Close as workmanship damage and route the unit to the repair/root-cause team for manufacturing corrective action.</t>
  </si>
  <si>
    <t>FA-0858831</t>
  </si>
  <si>
    <t xml:space="preserve">
C8200-1N-4T</t>
  </si>
  <si>
    <t>FJC29341849</t>
  </si>
  <si>
    <t>Failure mode: 
Failures of Check Inventory per wrong assembly
Troubleshooting: TE review the test logs and found the issue.
Retest: pass</t>
  </si>
  <si>
    <t>Retraining the personnal with the connections of correctly assembly
Training and certifications/</t>
  </si>
  <si>
    <t xml:space="preserve">
FJC29341849</t>
  </si>
  <si>
    <t>Failure mode: 
Units with 2 Power Supply disconnected
Troubleshooting: TE review the test logs and found the issue.
Retest: pass</t>
  </si>
  <si>
    <t>Retraining the personnal with the connections of Power Supply's
Training and certifications/</t>
  </si>
  <si>
    <t>FOX2945PWPZ</t>
  </si>
  <si>
    <t>A broken chassis-side fan-tray connector could not lock the fan tray, so the system detected a missing fan tray and repeatedly rebooted.</t>
  </si>
  <si>
    <t>Repair or replace the broken connector/chassis assembly and pursue manufacturing corrective action for the workmanship defect.</t>
  </si>
  <si>
    <t>FA-0922815</t>
  </si>
  <si>
    <t xml:space="preserve">
FJC293413WJ</t>
  </si>
  <si>
    <t>Failure mode: 
Wrong scanning in assembly
Troubleshooting: TE review the test logs and found the issue.
Retest: pass</t>
  </si>
  <si>
    <t>Retrainning the personal with the correctly scanning of the units in Assembly Area
Training and certifications/</t>
  </si>
  <si>
    <t>FOX2835P1RA</t>
  </si>
  <si>
    <t>The chassis was scratched before delivery, creating a cosmetic workmanship defect although the unit remained functional.</t>
  </si>
  <si>
    <t>Close as fault isolated and follow up with the manufacturing site for corrective action.</t>
  </si>
  <si>
    <t>FA-0826669</t>
  </si>
  <si>
    <t>FOX2826P6UK</t>
  </si>
  <si>
    <t>A solder hot-tear/internal connection defect at Serial Atris U1_S4_P3, confirmed by dye penetration, caused high-temperature diagnostic failure and unexpected reloads.</t>
  </si>
  <si>
    <t>Document the Dye &amp; Pry result, close the case as fault isolated, and scrap the board.</t>
  </si>
  <si>
    <t>FA-0828888</t>
  </si>
  <si>
    <t xml:space="preserve">
FJC293817H2</t>
  </si>
  <si>
    <t>The RAM memory was inserted incorrectly into the unit</t>
  </si>
  <si>
    <t>Train/certify to operators for the SYSASSY Process</t>
  </si>
  <si>
    <t>FJC29391GBX</t>
  </si>
  <si>
    <t>Operator error, the number of LEDs was entered incorrectly.</t>
  </si>
  <si>
    <t>Train/certify to operators for the SYSFT Process</t>
  </si>
  <si>
    <t>FJC29471QFS</t>
  </si>
  <si>
    <t>Various causes:
*Some units failed due to the renaming to test areas.
*Other units failed due to incorrect processing of RFID units. 
*Intermittent RFID service.</t>
  </si>
  <si>
    <t>Under investigation(Intermittent RFID Service) / Jian-Bang
Training and Feedback to Operator about the correct connections / Minute</t>
  </si>
  <si>
    <t>FJC294815TB</t>
  </si>
  <si>
    <t>This is caused by an operator error when swapping console cables; this was discovered because the PCB_SN does not match the genealogy</t>
  </si>
  <si>
    <t>*Define ""FCJ"" in Script (Only FGL and FVI are currently defined)
*Operator training for correct scanning and connections in units(Compares Chassis SN against the SN of the parent unit that has Cesium; If the parent unit does not match the scanned unit, it means that it is incorrectly connected or scanned)</t>
  </si>
  <si>
    <t>C1111-4P</t>
  </si>
  <si>
    <t>FGL2830LE1Y</t>
  </si>
  <si>
    <t>USB connector J3700 pin 9 was bent, creating an open USB 3.0 signal path and preventing USB recognition.</t>
  </si>
  <si>
    <t>Repair or replace the connector and send the case to the root-cause team for manufacturing corrective action.</t>
  </si>
  <si>
    <t>FA-0723144</t>
  </si>
  <si>
    <t>FGL2815L92C</t>
  </si>
  <si>
    <t>The chassis cover was dented during the manufacturing process.</t>
  </si>
  <si>
    <t>Replace or repair the damaged cover and send the case for root-cause corrective action.</t>
  </si>
  <si>
    <t>FA-0692798</t>
  </si>
  <si>
    <t>C1109-4PLTE2P</t>
  </si>
  <si>
    <t>FGL2805L96X</t>
  </si>
  <si>
    <t>The console LED had detached from the board, so it did not illuminate after startup.</t>
  </si>
  <si>
    <t>Restore or replace the LED attachment and send the case for manufacturing root-cause corrective action.</t>
  </si>
  <si>
    <t>FA-0684170</t>
  </si>
  <si>
    <t>C1131X-8PLTEPWE</t>
  </si>
  <si>
    <t>FVT2909L4H2
FVT2909L63Y</t>
  </si>
  <si>
    <t>WIFI antenna cable bad contact</t>
  </si>
  <si>
    <t>The unit passes after reinstalling the WiFi antenna cable.</t>
  </si>
  <si>
    <t>FY2025 M08 W1</t>
  </si>
  <si>
    <t>PPR REPORT _ FVT SRGBU.xlsx | FVT_PPR_TRACKER</t>
  </si>
  <si>
    <t>FVT2910L3AR
FVT2909L5TQ
FVT2910L05V</t>
  </si>
  <si>
    <t>FY2025 M08 W2</t>
  </si>
  <si>
    <t>C1131-8PLTEPWE</t>
  </si>
  <si>
    <t>FVT2922L4E6, FVT2922L4DX, FVT2922L4BV</t>
  </si>
  <si>
    <t>FY2025 M11 W1</t>
  </si>
  <si>
    <t>C1131-8PWB</t>
  </si>
  <si>
    <t>FVT2922L7CS</t>
  </si>
  <si>
    <t>sticker residue in the hole of the panel sticker reset key. When checking the reset key, the station employee accidentally pushed the residue into the machine. The residue pressed against the reset key.</t>
  </si>
  <si>
    <t>Production line employees must check and remove any residue from the sticker reset key hole before panel assembly to prevent interference.</t>
  </si>
  <si>
    <t>FVT2925L1FZ
FVT2925L2B5</t>
  </si>
  <si>
    <t>FY2025 M11 W4</t>
  </si>
  <si>
    <t>C1131X-8PLTEPWB</t>
  </si>
  <si>
    <t>FVT2925L7LD
FVT2925L7NE</t>
  </si>
  <si>
    <t>FVT2926L1GK</t>
  </si>
  <si>
    <t>FY2025 M12 W1</t>
  </si>
  <si>
    <t>C1131-8PLTEPWB</t>
  </si>
  <si>
    <t>FVT2933L2KE</t>
  </si>
  <si>
    <t xml:space="preserve"> WIFI antenna cable bad contact</t>
  </si>
  <si>
    <t>FY2026 M1 W3</t>
  </si>
  <si>
    <t>FVT2935L5ZK</t>
  </si>
  <si>
    <t>Module can't boot up</t>
  </si>
  <si>
    <t xml:space="preserve">Reinstalling the module after retries and power cycling resolves the problem.
</t>
  </si>
  <si>
    <t>FY2026 M2 W1</t>
  </si>
  <si>
    <t>C1131-8PLTEPWQ</t>
  </si>
  <si>
    <t>FVT2935L157</t>
  </si>
  <si>
    <t>FVT2943L4JH</t>
  </si>
  <si>
    <t>FY2026 M3 W5</t>
  </si>
  <si>
    <t>C1131-8PLTEPWF</t>
  </si>
  <si>
    <t>FVT2851L0FX</t>
  </si>
  <si>
    <t>Pluggable interface module cannot be detected</t>
  </si>
  <si>
    <t xml:space="preserve">For pluggable interface module issues, reinstalling the module after retries and power cycling resolves the problem.
</t>
  </si>
  <si>
    <t>FY2025 M05 W4</t>
  </si>
  <si>
    <t>FVT2851L0E4</t>
  </si>
  <si>
    <t>Testing
OPERATOR_PROCESS</t>
  </si>
  <si>
    <t>FVT2902L2FH</t>
  </si>
  <si>
    <t>FY2025 M06 W3</t>
  </si>
  <si>
    <t>C1131-8PWE</t>
  </si>
  <si>
    <t>FVT2902L6N2</t>
  </si>
  <si>
    <t>FVT2903L1JV</t>
  </si>
  <si>
    <t>Cable of CISCO LED bad contact</t>
  </si>
  <si>
    <t>operators must double-check the LED cable placement during assembly and continue monitoring.</t>
  </si>
  <si>
    <t>FY2025 M06 W4</t>
  </si>
  <si>
    <t>FVT2904L5WQ</t>
  </si>
  <si>
    <t>FY2025 M06 W5</t>
  </si>
  <si>
    <t>Defect Code</t>
  </si>
  <si>
    <t>Failed Part</t>
  </si>
  <si>
    <t>Incorrect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</si>
</sst>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
  </numFmts>
  <fonts count="13">
    <font>
      <sz val="11"/>
      <name val="Carlito"/>
    </font>
    <font>
      <sz val="11"/>
      <color theme="1"/>
      <name val="Calibri"/>
      <family val="2"/>
      <scheme val="minor"/>
    </font>
    <font>
      <sz val="11"/>
      <color rgb="FF000000"/>
      <name val="Calibri"/>
      <family val="2"/>
      <scheme val="minor"/>
    </font>
    <font>
      <sz val="11"/>
      <color rgb="FF9C0006"/>
      <name val="Calibri"/>
      <family val="2"/>
      <scheme val="minor"/>
    </font>
    <font>
      <sz val="11"/>
      <color theme="1"/>
      <name val="Calibri"/>
      <family val="2"/>
      <charset val="134"/>
      <scheme val="minor"/>
    </font>
    <font>
      <sz val="12"/>
      <color theme="1"/>
      <name val="Calibri"/>
      <family val="2"/>
      <scheme val="minor"/>
    </font>
    <font>
      <sz val="11"/>
      <name val="Calibri"/>
      <family val="2"/>
    </font>
    <font>
      <sz val="11"/>
      <name val="Carlito"/>
    </font>
    <font>
      <b/>
      <sz val="11"/>
      <color rgb="FF000000"/>
      <name val="Calibri"/>
      <family val="2"/>
      <scheme val="minor"/>
    </font>
    <font>
      <b/>
      <sz val="11"/>
      <name val="Calibri"/>
      <family val="2"/>
      <scheme val="minor"/>
    </font>
    <font>
      <sz val="11"/>
      <name val="Calibri"/>
      <family val="2"/>
      <scheme val="minor"/>
    </font>
    <font>
      <sz val="11"/>
      <color rgb="FF242424"/>
      <name val="Aptos Narrow"/>
    </font>
    <font>
      <b/>
      <sz val="11"/>
      <name val="Carlito"/>
    </font>
  </fonts>
  <fills count="6">
    <fill>
      <patternFill patternType="none"/>
    </fill>
    <fill>
      <patternFill patternType="gray125"/>
    </fill>
    <fill>
      <patternFill patternType="solid">
        <fgColor rgb="FF606A76"/>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9">
    <xf numFmtId="0" fontId="0" fillId="0" borderId="0"/>
    <xf numFmtId="0" fontId="1" fillId="0" borderId="0"/>
    <xf numFmtId="0" fontId="1" fillId="0" borderId="0"/>
    <xf numFmtId="0" fontId="3" fillId="5" borderId="0">
      <alignment vertical="center"/>
    </xf>
    <xf numFmtId="0" fontId="4" fillId="0" borderId="0"/>
    <xf numFmtId="0" fontId="5" fillId="0" borderId="0"/>
    <xf numFmtId="0" fontId="6" fillId="0" borderId="0"/>
    <xf numFmtId="0" fontId="5" fillId="0" borderId="0"/>
    <xf numFmtId="9" fontId="7" fillId="0" borderId="0"/>
  </cellStyleXfs>
  <cellXfs count="34">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0" xfId="0" applyFont="1"/>
    <xf numFmtId="0" fontId="9" fillId="2" borderId="0" xfId="0" applyFont="1" applyFill="1" applyAlignment="1">
      <alignment horizontal="center" wrapText="1"/>
    </xf>
    <xf numFmtId="0" fontId="9" fillId="2" borderId="0" xfId="0" applyFont="1" applyFill="1" applyAlignment="1">
      <alignment wrapText="1"/>
    </xf>
    <xf numFmtId="0" fontId="9" fillId="2" borderId="0" xfId="0" applyFont="1" applyFill="1" applyAlignment="1">
      <alignment horizontal="left" wrapText="1"/>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left" wrapText="1"/>
    </xf>
    <xf numFmtId="0" fontId="10" fillId="0" borderId="0" xfId="0" applyFont="1"/>
    <xf numFmtId="3" fontId="10" fillId="0" borderId="0" xfId="0" applyNumberFormat="1" applyFont="1" applyAlignment="1">
      <alignment horizontal="center" wrapText="1"/>
    </xf>
    <xf numFmtId="164" fontId="10" fillId="0" borderId="0" xfId="0" applyNumberFormat="1" applyFont="1" applyAlignment="1">
      <alignment horizontal="center" wrapText="1"/>
    </xf>
    <xf numFmtId="14" fontId="10" fillId="0" borderId="0" xfId="0" applyNumberFormat="1" applyFont="1" applyAlignment="1">
      <alignment horizontal="center" wrapText="1"/>
    </xf>
    <xf numFmtId="14" fontId="10" fillId="0" borderId="0" xfId="1" applyNumberFormat="1" applyFont="1" applyAlignment="1">
      <alignment horizontal="center" wrapText="1"/>
    </xf>
    <xf numFmtId="15" fontId="10" fillId="0" borderId="0" xfId="0" applyNumberFormat="1" applyFont="1" applyAlignment="1">
      <alignment wrapText="1"/>
    </xf>
    <xf numFmtId="0" fontId="10" fillId="0" borderId="0" xfId="3" applyFont="1" applyFill="1" applyAlignment="1">
      <alignment wrapText="1"/>
    </xf>
    <xf numFmtId="14" fontId="10" fillId="0" borderId="0" xfId="0" applyNumberFormat="1" applyFont="1" applyAlignment="1">
      <alignment horizontal="center"/>
    </xf>
    <xf numFmtId="165" fontId="10" fillId="0" borderId="0" xfId="0" applyNumberFormat="1" applyFont="1" applyAlignment="1">
      <alignment wrapText="1"/>
    </xf>
    <xf numFmtId="0" fontId="10" fillId="0" borderId="0" xfId="0" quotePrefix="1" applyFont="1" applyAlignment="1">
      <alignment wrapText="1"/>
    </xf>
    <xf numFmtId="0" fontId="10" fillId="0" borderId="0" xfId="4" applyFont="1"/>
    <xf numFmtId="10" fontId="9" fillId="0" borderId="0" xfId="0" applyNumberFormat="1"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10" fontId="9" fillId="0" borderId="0" xfId="8" applyNumberFormat="1" applyFont="1" applyAlignment="1">
      <alignment horizontal="center" wrapText="1"/>
    </xf>
    <xf numFmtId="16" fontId="10" fillId="0" borderId="0" xfId="0" applyNumberFormat="1" applyFont="1" applyAlignment="1">
      <alignment horizontal="center" wrapText="1"/>
    </xf>
    <xf numFmtId="0" fontId="11" fillId="0" borderId="0" xfId="0" applyFont="1" applyAlignment="1">
      <alignment wrapText="1"/>
    </xf>
    <xf numFmtId="1" fontId="10" fillId="0" borderId="0" xfId="0" applyNumberFormat="1" applyFont="1" applyAlignment="1">
      <alignment horizontal="center" wrapText="1"/>
    </xf>
    <xf numFmtId="0" fontId="2" fillId="0" borderId="0" xfId="0" applyFont="1" applyAlignment="1">
      <alignment horizontal="left" wrapText="1"/>
    </xf>
    <xf numFmtId="0" fontId="11" fillId="0" borderId="0" xfId="0" applyFont="1"/>
    <xf numFmtId="0" fontId="10" fillId="3" borderId="0" xfId="0" applyFont="1" applyFill="1" applyAlignment="1">
      <alignment vertical="center" wrapText="1"/>
    </xf>
    <xf numFmtId="0" fontId="10" fillId="4" borderId="0" xfId="0" applyFont="1" applyFill="1" applyAlignment="1">
      <alignment vertical="center" wrapText="1"/>
    </xf>
    <xf numFmtId="0" fontId="10" fillId="5" borderId="0" xfId="0" applyFont="1" applyFill="1" applyAlignment="1">
      <alignment vertical="center" wrapText="1"/>
    </xf>
    <xf numFmtId="0" fontId="12" fillId="0" borderId="0" xfId="0" applyFont="1"/>
  </cellXfs>
  <cellStyles count="9">
    <cellStyle name="Bad" xfId="3" builtinId="27"/>
    <cellStyle name="Normal" xfId="0" builtinId="0"/>
    <cellStyle name="Normal 10" xfId="6" xr:uid="{00000000-0005-0000-0000-000006000000}"/>
    <cellStyle name="Normal 2" xfId="4" xr:uid="{00000000-0005-0000-0000-000004000000}"/>
    <cellStyle name="Normal 34" xfId="2" xr:uid="{00000000-0005-0000-0000-000002000000}"/>
    <cellStyle name="Normal 4" xfId="5" xr:uid="{00000000-0005-0000-0000-000005000000}"/>
    <cellStyle name="Normal 7 7" xfId="1" xr:uid="{00000000-0005-0000-0000-000001000000}"/>
    <cellStyle name="Percent" xfId="8" builtinId="5"/>
    <cellStyle name="一般 189" xfId="7" xr:uid="{00000000-0005-0000-0000-000007000000}"/>
  </cellStyles>
  <dxfs count="24">
    <dxf>
      <font>
        <strike val="0"/>
        <outline val="0"/>
        <shadow val="0"/>
        <vertAlign val="baseline"/>
        <sz val="11"/>
        <color auto="1"/>
        <name val="Calibri"/>
        <family val="2"/>
        <scheme val="minor"/>
      </font>
      <alignment vertical="bottom" wrapText="1"/>
    </dxf>
    <dxf>
      <font>
        <strike val="0"/>
        <outline val="0"/>
        <shadow val="0"/>
        <vertAlign val="baseline"/>
        <sz val="11"/>
        <color auto="1"/>
        <name val="Calibri"/>
        <family val="2"/>
        <scheme val="minor"/>
      </font>
      <alignment vertical="bottom" wrapText="1"/>
    </dxf>
    <dxf>
      <font>
        <strike val="0"/>
        <outline val="0"/>
        <shadow val="0"/>
        <vertAlign val="baseline"/>
        <sz val="11"/>
        <color auto="1"/>
        <name val="Calibri"/>
        <family val="2"/>
        <scheme val="minor"/>
      </font>
      <alignment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vertical="bottom" wrapText="1"/>
    </dxf>
    <dxf>
      <font>
        <strike val="0"/>
        <outline val="0"/>
        <shadow val="0"/>
        <vertAlign val="baseline"/>
        <sz val="11"/>
        <color auto="1"/>
        <name val="Calibri"/>
        <family val="2"/>
        <scheme val="minor"/>
      </font>
      <alignment horizontal="left" vertical="bottom" wrapText="1"/>
    </dxf>
    <dxf>
      <font>
        <strike val="0"/>
        <outline val="0"/>
        <shadow val="0"/>
        <vertAlign val="baseline"/>
        <sz val="11"/>
        <color auto="1"/>
        <name val="Calibri"/>
        <family val="2"/>
        <scheme val="minor"/>
      </font>
      <alignment horizontal="left" vertical="bottom" wrapText="1"/>
    </dxf>
    <dxf>
      <font>
        <strike val="0"/>
        <outline val="0"/>
        <shadow val="0"/>
        <vertAlign val="baseline"/>
        <sz val="11"/>
        <color auto="1"/>
        <name val="Calibri"/>
        <family val="2"/>
        <scheme val="minor"/>
      </font>
      <alignment horizontal="center" vertical="bottom" wrapText="1"/>
    </dxf>
    <dxf>
      <font>
        <strike val="0"/>
        <outline val="0"/>
        <shadow val="0"/>
        <vertAlign val="baseline"/>
        <sz val="11"/>
        <color auto="1"/>
        <name val="Calibri"/>
        <family val="2"/>
        <scheme val="minor"/>
      </font>
      <alignment horizontal="center" vertical="bottom" wrapText="1"/>
    </dxf>
    <dxf>
      <font>
        <b/>
        <strike val="0"/>
        <outline val="0"/>
        <shadow val="0"/>
        <vertAlign val="baseline"/>
        <sz val="11"/>
        <color auto="1"/>
        <name val="Calibri"/>
        <family val="2"/>
        <scheme val="minor"/>
      </font>
      <alignment horizontal="center" vertical="bottom" wrapText="1"/>
    </dxf>
    <dxf>
      <font>
        <strike val="0"/>
        <outline val="0"/>
        <shadow val="0"/>
        <vertAlign val="baseline"/>
        <sz val="11"/>
        <color auto="1"/>
        <name val="Calibri"/>
        <family val="2"/>
        <scheme val="minor"/>
      </font>
      <alignment horizontal="center" vertical="bottom" wrapText="1"/>
    </dxf>
    <dxf>
      <font>
        <strike val="0"/>
        <outline val="0"/>
        <shadow val="0"/>
        <vertAlign val="baseline"/>
        <sz val="11"/>
        <color auto="1"/>
        <name val="Calibri"/>
        <family val="2"/>
        <scheme val="minor"/>
      </font>
      <alignment horizontal="center"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horizontal="general" vertical="bottom" wrapText="1"/>
    </dxf>
    <dxf>
      <font>
        <strike val="0"/>
        <outline val="0"/>
        <shadow val="0"/>
        <vertAlign val="baseline"/>
        <sz val="11"/>
        <color auto="1"/>
        <name val="Calibri"/>
        <family val="2"/>
        <scheme val="minor"/>
      </font>
      <alignment vertical="bottom" wrapText="1"/>
      <border outline="0">
        <left style="thin">
          <color theme="2" tint="-0.249977111117893"/>
        </left>
        <right style="thin">
          <color theme="2" tint="-0.249977111117893"/>
        </right>
        <top/>
        <bottom/>
      </border>
    </dxf>
    <dxf>
      <font>
        <strike val="0"/>
        <outline val="0"/>
        <shadow val="0"/>
        <vertAlign val="baseline"/>
        <sz val="11"/>
        <color auto="1"/>
        <name val="Calibri"/>
        <family val="2"/>
        <scheme val="minor"/>
      </font>
      <alignment vertical="bottom" wrapText="1"/>
    </dxf>
    <dxf>
      <font>
        <strike val="0"/>
        <outline val="0"/>
        <shadow val="0"/>
        <vertAlign val="baseline"/>
        <sz val="11"/>
        <color auto="1"/>
        <name val="Calibri"/>
        <family val="2"/>
        <scheme val="minor"/>
      </font>
      <alignment horizontal="left" vertical="bottom" wrapText="1"/>
      <border outline="0">
        <left style="thin">
          <color theme="2" tint="-0.249977111117893"/>
        </left>
        <right style="thin">
          <color theme="2" tint="-0.24997711111789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manshipResultsTable" displayName="WorkmanshipResultsTable" ref="A1:U367" headerRowDxfId="23" dataDxfId="22" totalsRowDxfId="21">
  <autoFilter ref="A1:U367" xr:uid="{00000000-0009-0000-0100-000001000000}"/>
  <sortState xmlns:xlrd2="http://schemas.microsoft.com/office/spreadsheetml/2017/richdata2" ref="A2:U367">
    <sortCondition ref="N1:N367"/>
  </sortState>
  <tableColumns count="21">
    <tableColumn id="1" xr3:uid="{00000000-0010-0000-0000-000001000000}" name="Failure Mode" dataDxfId="20"/>
    <tableColumn id="6" xr3:uid="{00000000-0010-0000-0000-000006000000}" name="Failure Code" dataDxfId="19"/>
    <tableColumn id="2" xr3:uid="{00000000-0010-0000-0000-000002000000}" name="Business Unit" dataDxfId="18"/>
    <tableColumn id="3" xr3:uid="{00000000-0010-0000-0000-000003000000}" name="PID / Product family" dataDxfId="17"/>
    <tableColumn id="4" xr3:uid="{00000000-0010-0000-0000-000004000000}" name="CPN" dataDxfId="16"/>
    <tableColumn id="5" xr3:uid="{00000000-0010-0000-0000-000005000000}" name="Serial Number" dataDxfId="15"/>
    <tableColumn id="7" xr3:uid="{00000000-0010-0000-0000-000007000000}" name="Brief Description" dataDxfId="14"/>
    <tableColumn id="8" xr3:uid="{00000000-0010-0000-0000-000008000000}" name="Determined Corrective Action" dataDxfId="13"/>
    <tableColumn id="9" xr3:uid="{00000000-0010-0000-0000-000009000000}" name="Manufacturer Site" dataDxfId="12"/>
    <tableColumn id="10" xr3:uid="{00000000-0010-0000-0000-00000A000000}" name="Number of Failed Units" dataDxfId="11"/>
    <tableColumn id="11" xr3:uid="{00000000-0010-0000-0000-00000B000000}" name="Total Units Built" dataDxfId="10"/>
    <tableColumn id="12" xr3:uid="{00000000-0010-0000-0000-00000C000000}" name="Failure Rate %" dataDxfId="9"/>
    <tableColumn id="15" xr3:uid="{00000000-0010-0000-0000-00000F000000}" name="Source Case Number" dataDxfId="8"/>
    <tableColumn id="16" xr3:uid="{00000000-0010-0000-0000-000010000000}" name="Source Date / Week" dataDxfId="7"/>
    <tableColumn id="17" xr3:uid="{00000000-0010-0000-0000-000011000000}" name="Status" dataDxfId="6"/>
    <tableColumn id="14" xr3:uid="{00000000-0010-0000-0000-00000E000000}" name="Source Report Type" dataDxfId="5"/>
    <tableColumn id="18" xr3:uid="{00000000-0010-0000-0000-000012000000}" name="Source Location" dataDxfId="4"/>
    <tableColumn id="13" xr3:uid="{00000000-0010-0000-0000-00000D000000}" name="Record ID" dataDxfId="3"/>
    <tableColumn id="19" xr3:uid="{00000000-0010-0000-0000-000013000000}" name="Evidence" dataDxfId="2"/>
    <tableColumn id="20" xr3:uid="{00000000-0010-0000-0000-000014000000}" name="Confidence" dataDxfId="1"/>
    <tableColumn id="21" xr3:uid="{00000000-0010-0000-0000-000015000000}" name="Derivation / Conflict Notes" dataDxfId="0"/>
  </tableColumns>
  <tableStyleInfo name="TableStyleLight1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7"/>
  <sheetViews>
    <sheetView showGridLines="0" tabSelected="1" zoomScale="135" workbookViewId="0">
      <pane ySplit="1" topLeftCell="A2" activePane="bottomLeft" state="frozen"/>
      <selection pane="bottomLeft" activeCell="C3" sqref="C3"/>
    </sheetView>
  </sheetViews>
  <sheetFormatPr baseColWidth="10" defaultColWidth="9" defaultRowHeight="15"/>
  <cols>
    <col min="1" max="1" width="19.5" style="1" customWidth="1"/>
    <col min="2" max="2" width="14.6640625" style="1" customWidth="1"/>
    <col min="3" max="3" width="8.83203125" style="1" customWidth="1"/>
    <col min="4" max="4" width="24" style="1" customWidth="1"/>
    <col min="5" max="5" width="13.1640625" style="1" customWidth="1"/>
    <col min="6" max="6" width="14.5" style="1" customWidth="1"/>
    <col min="7" max="7" width="32.6640625" style="1" customWidth="1"/>
    <col min="8" max="8" width="29.6640625" style="1" customWidth="1"/>
    <col min="9" max="9" width="25" style="1" customWidth="1"/>
    <col min="10" max="10" width="10.1640625" style="2" customWidth="1"/>
    <col min="11" max="11" width="8.6640625" style="2" customWidth="1"/>
    <col min="12" max="12" width="14" style="23" customWidth="1"/>
    <col min="13" max="13" width="11.5" style="2" customWidth="1"/>
    <col min="14" max="14" width="13.83203125" style="2" customWidth="1"/>
    <col min="15" max="15" width="16" style="28" customWidth="1"/>
    <col min="16" max="16" width="17.6640625" style="1" customWidth="1"/>
    <col min="17" max="17" width="50" style="1" customWidth="1"/>
    <col min="18" max="18" width="14" style="1" customWidth="1"/>
    <col min="19" max="19" width="60" style="1" customWidth="1"/>
    <col min="20" max="20" width="13" style="1" customWidth="1"/>
    <col min="21" max="21" width="56" style="1" customWidth="1"/>
    <col min="22" max="27" width="9" style="1" customWidth="1"/>
    <col min="28" max="16384" width="9" style="1"/>
  </cols>
  <sheetData>
    <row r="1" spans="1:21" ht="30" customHeight="1">
      <c r="A1" s="5" t="s">
        <v>0</v>
      </c>
      <c r="B1" s="5" t="s">
        <v>1</v>
      </c>
      <c r="C1" s="5" t="s">
        <v>2</v>
      </c>
      <c r="D1" s="5" t="s">
        <v>3</v>
      </c>
      <c r="E1" s="5" t="s">
        <v>4</v>
      </c>
      <c r="F1" s="5" t="s">
        <v>5</v>
      </c>
      <c r="G1" s="5" t="s">
        <v>6</v>
      </c>
      <c r="H1" s="5" t="s">
        <v>7</v>
      </c>
      <c r="I1" s="5" t="s">
        <v>8</v>
      </c>
      <c r="J1" s="4" t="s">
        <v>9</v>
      </c>
      <c r="K1" s="4" t="s">
        <v>10</v>
      </c>
      <c r="L1" s="4" t="s">
        <v>11</v>
      </c>
      <c r="M1" s="4" t="s">
        <v>12</v>
      </c>
      <c r="N1" s="6" t="s">
        <v>13</v>
      </c>
      <c r="O1" s="6" t="s">
        <v>14</v>
      </c>
      <c r="P1" s="6" t="s">
        <v>15</v>
      </c>
      <c r="Q1" s="6" t="s">
        <v>16</v>
      </c>
      <c r="R1" s="6" t="s">
        <v>17</v>
      </c>
      <c r="S1" s="6" t="s">
        <v>18</v>
      </c>
      <c r="T1" s="6" t="s">
        <v>19</v>
      </c>
      <c r="U1" s="6" t="s">
        <v>20</v>
      </c>
    </row>
    <row r="2" spans="1:21" ht="42" customHeight="1">
      <c r="A2" s="7" t="s">
        <v>21</v>
      </c>
      <c r="B2" s="30" t="s">
        <v>22</v>
      </c>
      <c r="C2" s="7" t="s">
        <v>23</v>
      </c>
      <c r="D2" s="7" t="s">
        <v>24</v>
      </c>
      <c r="E2" s="7" t="s">
        <v>25</v>
      </c>
      <c r="F2" s="7" t="s">
        <v>26</v>
      </c>
      <c r="G2" s="7" t="s">
        <v>27</v>
      </c>
      <c r="H2" s="7" t="s">
        <v>28</v>
      </c>
      <c r="I2" s="10" t="s">
        <v>29</v>
      </c>
      <c r="J2" s="11">
        <v>2</v>
      </c>
      <c r="K2" s="11">
        <v>56</v>
      </c>
      <c r="L2" s="21">
        <f>IF(OR(J2="",K2="",K2=0),"",J2/K2)</f>
        <v>3.5714285714285712E-2</v>
      </c>
      <c r="M2" s="8" t="s">
        <v>30</v>
      </c>
      <c r="N2" s="12">
        <v>45498</v>
      </c>
      <c r="O2" s="9" t="s">
        <v>31</v>
      </c>
      <c r="P2" s="7" t="s">
        <v>32</v>
      </c>
      <c r="Q2" s="7" t="s">
        <v>33</v>
      </c>
      <c r="R2" s="7" t="s">
        <v>34</v>
      </c>
      <c r="S2" s="7" t="s">
        <v>35</v>
      </c>
      <c r="T2" s="7" t="s">
        <v>36</v>
      </c>
      <c r="U2" s="7" t="s">
        <v>37</v>
      </c>
    </row>
    <row r="3" spans="1:21" ht="42" customHeight="1">
      <c r="A3" s="7" t="s">
        <v>38</v>
      </c>
      <c r="B3" s="30" t="s">
        <v>39</v>
      </c>
      <c r="C3" s="7" t="s">
        <v>40</v>
      </c>
      <c r="D3" s="7" t="s">
        <v>41</v>
      </c>
      <c r="E3" s="7" t="s">
        <v>42</v>
      </c>
      <c r="F3" s="7"/>
      <c r="G3" s="7" t="s">
        <v>43</v>
      </c>
      <c r="H3" s="7" t="s">
        <v>44</v>
      </c>
      <c r="I3" s="10" t="s">
        <v>45</v>
      </c>
      <c r="J3" s="11">
        <v>5</v>
      </c>
      <c r="K3" s="11">
        <v>149</v>
      </c>
      <c r="L3" s="21">
        <f>IF(OR(J3="",K3="",K3=0),"",J3/K3)</f>
        <v>3.3557046979865772E-2</v>
      </c>
      <c r="M3" s="8"/>
      <c r="N3" s="12" t="s">
        <v>46</v>
      </c>
      <c r="O3" s="9" t="s">
        <v>47</v>
      </c>
      <c r="P3" s="7" t="s">
        <v>48</v>
      </c>
      <c r="Q3" s="7" t="s">
        <v>49</v>
      </c>
      <c r="R3" s="7" t="s">
        <v>50</v>
      </c>
      <c r="S3" s="7" t="s">
        <v>51</v>
      </c>
      <c r="T3" s="7" t="s">
        <v>36</v>
      </c>
      <c r="U3" s="7" t="s">
        <v>52</v>
      </c>
    </row>
    <row r="4" spans="1:21" ht="42" customHeight="1">
      <c r="A4" s="7" t="s">
        <v>38</v>
      </c>
      <c r="B4" s="30" t="s">
        <v>39</v>
      </c>
      <c r="C4" s="7" t="s">
        <v>40</v>
      </c>
      <c r="D4" s="7" t="s">
        <v>41</v>
      </c>
      <c r="E4" s="7" t="s">
        <v>53</v>
      </c>
      <c r="F4" s="7"/>
      <c r="G4" s="7" t="s">
        <v>54</v>
      </c>
      <c r="H4" s="7" t="s">
        <v>55</v>
      </c>
      <c r="I4" s="10" t="s">
        <v>45</v>
      </c>
      <c r="J4" s="11">
        <v>1</v>
      </c>
      <c r="K4" s="11">
        <v>95</v>
      </c>
      <c r="L4" s="21">
        <f>IF(OR(J4="",K4="",K4=0),"",J4/K4)</f>
        <v>1.0526315789473684E-2</v>
      </c>
      <c r="M4" s="8"/>
      <c r="N4" s="12" t="s">
        <v>56</v>
      </c>
      <c r="O4" s="9" t="s">
        <v>47</v>
      </c>
      <c r="P4" s="7" t="s">
        <v>48</v>
      </c>
      <c r="Q4" s="7" t="s">
        <v>57</v>
      </c>
      <c r="R4" s="7" t="s">
        <v>58</v>
      </c>
      <c r="S4" s="7" t="s">
        <v>59</v>
      </c>
      <c r="T4" s="7" t="s">
        <v>36</v>
      </c>
      <c r="U4" s="7" t="s">
        <v>60</v>
      </c>
    </row>
    <row r="5" spans="1:21" ht="42" customHeight="1">
      <c r="A5" s="7" t="s">
        <v>21</v>
      </c>
      <c r="B5" s="30" t="s">
        <v>39</v>
      </c>
      <c r="C5" s="7" t="s">
        <v>23</v>
      </c>
      <c r="D5" s="7" t="s">
        <v>61</v>
      </c>
      <c r="E5" s="7" t="s">
        <v>62</v>
      </c>
      <c r="F5" s="7"/>
      <c r="G5" s="7" t="s">
        <v>63</v>
      </c>
      <c r="H5" s="7" t="s">
        <v>64</v>
      </c>
      <c r="I5" s="7" t="s">
        <v>65</v>
      </c>
      <c r="J5" s="11">
        <v>9</v>
      </c>
      <c r="K5" s="11">
        <v>9</v>
      </c>
      <c r="L5" s="21">
        <f>IF(OR(J5="",K5="",K5=0),"",J5/K5)</f>
        <v>1</v>
      </c>
      <c r="M5" s="8" t="s">
        <v>66</v>
      </c>
      <c r="N5" s="12">
        <v>45604</v>
      </c>
      <c r="O5" s="29" t="s">
        <v>31</v>
      </c>
      <c r="P5" s="7" t="s">
        <v>32</v>
      </c>
      <c r="Q5" s="7" t="s">
        <v>67</v>
      </c>
      <c r="R5" s="7" t="s">
        <v>68</v>
      </c>
      <c r="S5" s="7" t="s">
        <v>69</v>
      </c>
      <c r="T5" s="7" t="s">
        <v>36</v>
      </c>
      <c r="U5" s="7" t="s">
        <v>70</v>
      </c>
    </row>
    <row r="6" spans="1:21" ht="42" customHeight="1">
      <c r="A6" s="7" t="s">
        <v>21</v>
      </c>
      <c r="B6" s="30" t="s">
        <v>71</v>
      </c>
      <c r="C6" s="7" t="s">
        <v>23</v>
      </c>
      <c r="D6" s="7" t="s">
        <v>72</v>
      </c>
      <c r="E6" s="7"/>
      <c r="F6" s="7" t="s">
        <v>73</v>
      </c>
      <c r="G6" s="7" t="s">
        <v>74</v>
      </c>
      <c r="H6" s="7" t="s">
        <v>75</v>
      </c>
      <c r="I6" s="10" t="s">
        <v>29</v>
      </c>
      <c r="J6" s="11">
        <v>3</v>
      </c>
      <c r="K6" s="11">
        <v>460</v>
      </c>
      <c r="L6" s="21">
        <f>IF(OR(J6="",K6="",K6=0),"",J6/K6)</f>
        <v>6.5217391304347823E-3</v>
      </c>
      <c r="M6" s="8" t="s">
        <v>76</v>
      </c>
      <c r="N6" s="12">
        <v>45649</v>
      </c>
      <c r="O6" s="29" t="s">
        <v>31</v>
      </c>
      <c r="P6" s="7" t="s">
        <v>32</v>
      </c>
      <c r="Q6" s="7" t="s">
        <v>77</v>
      </c>
      <c r="R6" s="7" t="s">
        <v>78</v>
      </c>
      <c r="S6" s="7" t="s">
        <v>79</v>
      </c>
      <c r="T6" s="7" t="s">
        <v>36</v>
      </c>
      <c r="U6" s="7" t="s">
        <v>80</v>
      </c>
    </row>
    <row r="7" spans="1:21" ht="42" customHeight="1">
      <c r="A7" s="7" t="s">
        <v>81</v>
      </c>
      <c r="B7" s="30" t="s">
        <v>82</v>
      </c>
      <c r="C7" s="7" t="s">
        <v>23</v>
      </c>
      <c r="D7" s="7" t="s">
        <v>83</v>
      </c>
      <c r="E7" s="7"/>
      <c r="F7" s="7"/>
      <c r="G7" s="7" t="s">
        <v>84</v>
      </c>
      <c r="H7" s="7" t="s">
        <v>85</v>
      </c>
      <c r="I7" s="10" t="s">
        <v>29</v>
      </c>
      <c r="J7" s="11">
        <v>70</v>
      </c>
      <c r="K7" s="11">
        <v>70</v>
      </c>
      <c r="L7" s="21">
        <v>1</v>
      </c>
      <c r="M7" s="8" t="s">
        <v>86</v>
      </c>
      <c r="N7" s="12">
        <v>45756</v>
      </c>
      <c r="O7" s="29" t="s">
        <v>31</v>
      </c>
      <c r="P7" s="7" t="s">
        <v>32</v>
      </c>
      <c r="Q7" s="7" t="s">
        <v>87</v>
      </c>
      <c r="R7" s="7" t="s">
        <v>88</v>
      </c>
      <c r="S7" s="7" t="s">
        <v>89</v>
      </c>
      <c r="T7" s="7" t="s">
        <v>36</v>
      </c>
      <c r="U7" s="7" t="s">
        <v>80</v>
      </c>
    </row>
    <row r="8" spans="1:21" ht="42" customHeight="1">
      <c r="A8" s="7" t="s">
        <v>38</v>
      </c>
      <c r="B8" s="30" t="s">
        <v>39</v>
      </c>
      <c r="C8" s="7" t="s">
        <v>40</v>
      </c>
      <c r="D8" s="7" t="s">
        <v>41</v>
      </c>
      <c r="E8" s="7" t="s">
        <v>90</v>
      </c>
      <c r="F8" s="7"/>
      <c r="G8" s="7" t="s">
        <v>91</v>
      </c>
      <c r="H8" s="7" t="s">
        <v>92</v>
      </c>
      <c r="I8" s="10" t="s">
        <v>45</v>
      </c>
      <c r="J8" s="11">
        <v>4</v>
      </c>
      <c r="K8" s="11">
        <v>336</v>
      </c>
      <c r="L8" s="21">
        <f t="shared" ref="L8:L18" si="0">IF(OR(J8="",K8="",K8=0),"",J8/K8)</f>
        <v>1.1904761904761904E-2</v>
      </c>
      <c r="M8" s="8"/>
      <c r="N8" s="12" t="s">
        <v>93</v>
      </c>
      <c r="O8" s="9" t="s">
        <v>47</v>
      </c>
      <c r="P8" s="7" t="s">
        <v>48</v>
      </c>
      <c r="Q8" s="7" t="s">
        <v>94</v>
      </c>
      <c r="R8" s="7" t="s">
        <v>95</v>
      </c>
      <c r="S8" s="7" t="s">
        <v>96</v>
      </c>
      <c r="T8" s="7" t="s">
        <v>36</v>
      </c>
      <c r="U8" s="7" t="s">
        <v>97</v>
      </c>
    </row>
    <row r="9" spans="1:21" ht="42" customHeight="1">
      <c r="A9" s="7" t="s">
        <v>81</v>
      </c>
      <c r="B9" s="30" t="s">
        <v>98</v>
      </c>
      <c r="C9" s="7" t="s">
        <v>40</v>
      </c>
      <c r="D9" s="7" t="s">
        <v>41</v>
      </c>
      <c r="E9" s="7" t="s">
        <v>90</v>
      </c>
      <c r="F9" s="7"/>
      <c r="G9" s="7" t="s">
        <v>99</v>
      </c>
      <c r="H9" s="7" t="s">
        <v>100</v>
      </c>
      <c r="I9" s="10" t="s">
        <v>45</v>
      </c>
      <c r="J9" s="11">
        <v>1</v>
      </c>
      <c r="K9" s="11">
        <v>336</v>
      </c>
      <c r="L9" s="21">
        <f t="shared" si="0"/>
        <v>2.976190476190476E-3</v>
      </c>
      <c r="M9" s="8"/>
      <c r="N9" s="12" t="s">
        <v>93</v>
      </c>
      <c r="O9" s="9" t="s">
        <v>47</v>
      </c>
      <c r="P9" s="7" t="s">
        <v>48</v>
      </c>
      <c r="Q9" s="7" t="s">
        <v>101</v>
      </c>
      <c r="R9" s="7" t="s">
        <v>102</v>
      </c>
      <c r="S9" s="7" t="s">
        <v>103</v>
      </c>
      <c r="T9" s="7" t="s">
        <v>36</v>
      </c>
      <c r="U9" s="7" t="s">
        <v>104</v>
      </c>
    </row>
    <row r="10" spans="1:21" ht="42" customHeight="1">
      <c r="A10" s="7" t="s">
        <v>21</v>
      </c>
      <c r="B10" s="30" t="s">
        <v>105</v>
      </c>
      <c r="C10" s="7" t="s">
        <v>40</v>
      </c>
      <c r="D10" s="7" t="s">
        <v>41</v>
      </c>
      <c r="E10" s="7" t="s">
        <v>90</v>
      </c>
      <c r="F10" s="7"/>
      <c r="G10" s="7" t="s">
        <v>106</v>
      </c>
      <c r="H10" s="7" t="s">
        <v>107</v>
      </c>
      <c r="I10" s="10" t="s">
        <v>45</v>
      </c>
      <c r="J10" s="11">
        <v>1</v>
      </c>
      <c r="K10" s="11">
        <v>336</v>
      </c>
      <c r="L10" s="21">
        <f t="shared" si="0"/>
        <v>2.976190476190476E-3</v>
      </c>
      <c r="M10" s="8"/>
      <c r="N10" s="12" t="s">
        <v>93</v>
      </c>
      <c r="O10" s="9" t="s">
        <v>47</v>
      </c>
      <c r="P10" s="7" t="s">
        <v>48</v>
      </c>
      <c r="Q10" s="7" t="s">
        <v>108</v>
      </c>
      <c r="R10" s="7" t="s">
        <v>109</v>
      </c>
      <c r="S10" s="7" t="s">
        <v>110</v>
      </c>
      <c r="T10" s="7" t="s">
        <v>36</v>
      </c>
      <c r="U10" s="7" t="s">
        <v>104</v>
      </c>
    </row>
    <row r="11" spans="1:21" ht="42" customHeight="1">
      <c r="A11" s="7" t="s">
        <v>81</v>
      </c>
      <c r="B11" s="30" t="s">
        <v>39</v>
      </c>
      <c r="C11" s="7" t="s">
        <v>40</v>
      </c>
      <c r="D11" s="7" t="s">
        <v>111</v>
      </c>
      <c r="E11" s="7" t="s">
        <v>112</v>
      </c>
      <c r="F11" s="7"/>
      <c r="G11" s="7" t="s">
        <v>113</v>
      </c>
      <c r="H11" s="7" t="s">
        <v>114</v>
      </c>
      <c r="I11" s="10" t="s">
        <v>45</v>
      </c>
      <c r="J11" s="11">
        <v>4</v>
      </c>
      <c r="K11" s="11">
        <v>376</v>
      </c>
      <c r="L11" s="21">
        <f t="shared" si="0"/>
        <v>1.0638297872340425E-2</v>
      </c>
      <c r="M11" s="8"/>
      <c r="N11" s="12" t="s">
        <v>115</v>
      </c>
      <c r="O11" s="9" t="s">
        <v>47</v>
      </c>
      <c r="P11" s="7" t="s">
        <v>48</v>
      </c>
      <c r="Q11" s="7" t="s">
        <v>116</v>
      </c>
      <c r="R11" s="7" t="s">
        <v>117</v>
      </c>
      <c r="S11" s="7" t="s">
        <v>118</v>
      </c>
      <c r="T11" s="7" t="s">
        <v>36</v>
      </c>
      <c r="U11" s="7" t="s">
        <v>119</v>
      </c>
    </row>
    <row r="12" spans="1:21" ht="42" customHeight="1">
      <c r="A12" s="7" t="s">
        <v>21</v>
      </c>
      <c r="B12" s="30" t="s">
        <v>105</v>
      </c>
      <c r="C12" s="7" t="s">
        <v>40</v>
      </c>
      <c r="D12" s="7" t="s">
        <v>111</v>
      </c>
      <c r="E12" s="7" t="s">
        <v>112</v>
      </c>
      <c r="F12" s="7"/>
      <c r="G12" s="7" t="s">
        <v>120</v>
      </c>
      <c r="H12" s="7" t="s">
        <v>121</v>
      </c>
      <c r="I12" s="10" t="s">
        <v>45</v>
      </c>
      <c r="J12" s="11">
        <v>4</v>
      </c>
      <c r="K12" s="11">
        <v>376</v>
      </c>
      <c r="L12" s="21">
        <f t="shared" si="0"/>
        <v>1.0638297872340425E-2</v>
      </c>
      <c r="M12" s="8"/>
      <c r="N12" s="12" t="s">
        <v>115</v>
      </c>
      <c r="O12" s="9" t="s">
        <v>47</v>
      </c>
      <c r="P12" s="7" t="s">
        <v>48</v>
      </c>
      <c r="Q12" s="7" t="s">
        <v>122</v>
      </c>
      <c r="R12" s="7" t="s">
        <v>123</v>
      </c>
      <c r="S12" s="7" t="s">
        <v>124</v>
      </c>
      <c r="T12" s="7" t="s">
        <v>36</v>
      </c>
      <c r="U12" s="7" t="s">
        <v>119</v>
      </c>
    </row>
    <row r="13" spans="1:21" ht="42" customHeight="1">
      <c r="A13" s="7" t="s">
        <v>21</v>
      </c>
      <c r="B13" s="30" t="s">
        <v>105</v>
      </c>
      <c r="C13" s="7" t="s">
        <v>40</v>
      </c>
      <c r="D13" s="7" t="s">
        <v>111</v>
      </c>
      <c r="E13" s="7" t="s">
        <v>112</v>
      </c>
      <c r="F13" s="7"/>
      <c r="G13" s="7" t="s">
        <v>125</v>
      </c>
      <c r="H13" s="7" t="s">
        <v>121</v>
      </c>
      <c r="I13" s="10" t="s">
        <v>45</v>
      </c>
      <c r="J13" s="11">
        <v>3</v>
      </c>
      <c r="K13" s="11">
        <v>376</v>
      </c>
      <c r="L13" s="21">
        <f t="shared" si="0"/>
        <v>7.9787234042553185E-3</v>
      </c>
      <c r="M13" s="8"/>
      <c r="N13" s="12" t="s">
        <v>115</v>
      </c>
      <c r="O13" s="9" t="s">
        <v>47</v>
      </c>
      <c r="P13" s="7" t="s">
        <v>48</v>
      </c>
      <c r="Q13" s="7" t="s">
        <v>126</v>
      </c>
      <c r="R13" s="7" t="s">
        <v>127</v>
      </c>
      <c r="S13" s="7" t="s">
        <v>128</v>
      </c>
      <c r="T13" s="7" t="s">
        <v>36</v>
      </c>
      <c r="U13" s="7" t="s">
        <v>119</v>
      </c>
    </row>
    <row r="14" spans="1:21" ht="42" customHeight="1">
      <c r="A14" s="7" t="s">
        <v>21</v>
      </c>
      <c r="B14" s="30" t="s">
        <v>105</v>
      </c>
      <c r="C14" s="7" t="s">
        <v>40</v>
      </c>
      <c r="D14" s="7" t="s">
        <v>111</v>
      </c>
      <c r="E14" s="7" t="s">
        <v>112</v>
      </c>
      <c r="F14" s="7"/>
      <c r="G14" s="7" t="s">
        <v>129</v>
      </c>
      <c r="H14" s="7" t="s">
        <v>130</v>
      </c>
      <c r="I14" s="10" t="s">
        <v>45</v>
      </c>
      <c r="J14" s="11">
        <v>2</v>
      </c>
      <c r="K14" s="11">
        <v>376</v>
      </c>
      <c r="L14" s="21">
        <f t="shared" si="0"/>
        <v>5.3191489361702126E-3</v>
      </c>
      <c r="M14" s="8"/>
      <c r="N14" s="12" t="s">
        <v>115</v>
      </c>
      <c r="O14" s="9" t="s">
        <v>47</v>
      </c>
      <c r="P14" s="7" t="s">
        <v>48</v>
      </c>
      <c r="Q14" s="7" t="s">
        <v>131</v>
      </c>
      <c r="R14" s="7" t="s">
        <v>132</v>
      </c>
      <c r="S14" s="7" t="s">
        <v>133</v>
      </c>
      <c r="T14" s="7" t="s">
        <v>36</v>
      </c>
      <c r="U14" s="7" t="s">
        <v>119</v>
      </c>
    </row>
    <row r="15" spans="1:21" ht="42" customHeight="1">
      <c r="A15" s="7" t="s">
        <v>21</v>
      </c>
      <c r="B15" s="30" t="s">
        <v>105</v>
      </c>
      <c r="C15" s="7" t="s">
        <v>40</v>
      </c>
      <c r="D15" s="7" t="s">
        <v>111</v>
      </c>
      <c r="E15" s="7" t="s">
        <v>112</v>
      </c>
      <c r="F15" s="7"/>
      <c r="G15" s="7" t="s">
        <v>134</v>
      </c>
      <c r="H15" s="7" t="s">
        <v>121</v>
      </c>
      <c r="I15" s="10" t="s">
        <v>45</v>
      </c>
      <c r="J15" s="11">
        <v>2</v>
      </c>
      <c r="K15" s="11">
        <v>376</v>
      </c>
      <c r="L15" s="21">
        <f t="shared" si="0"/>
        <v>5.3191489361702126E-3</v>
      </c>
      <c r="M15" s="8"/>
      <c r="N15" s="12" t="s">
        <v>115</v>
      </c>
      <c r="O15" s="9" t="s">
        <v>47</v>
      </c>
      <c r="P15" s="7" t="s">
        <v>48</v>
      </c>
      <c r="Q15" s="7" t="s">
        <v>135</v>
      </c>
      <c r="R15" s="7" t="s">
        <v>136</v>
      </c>
      <c r="S15" s="7" t="s">
        <v>137</v>
      </c>
      <c r="T15" s="7" t="s">
        <v>36</v>
      </c>
      <c r="U15" s="7" t="s">
        <v>119</v>
      </c>
    </row>
    <row r="16" spans="1:21" ht="42" customHeight="1">
      <c r="A16" s="7" t="s">
        <v>21</v>
      </c>
      <c r="B16" s="30" t="s">
        <v>105</v>
      </c>
      <c r="C16" s="7" t="s">
        <v>40</v>
      </c>
      <c r="D16" s="7" t="s">
        <v>111</v>
      </c>
      <c r="E16" s="7" t="s">
        <v>138</v>
      </c>
      <c r="F16" s="7"/>
      <c r="G16" s="7" t="s">
        <v>120</v>
      </c>
      <c r="H16" s="7" t="s">
        <v>121</v>
      </c>
      <c r="I16" s="7" t="s">
        <v>45</v>
      </c>
      <c r="J16" s="11">
        <v>2</v>
      </c>
      <c r="K16" s="11">
        <v>137</v>
      </c>
      <c r="L16" s="21">
        <f t="shared" si="0"/>
        <v>1.4598540145985401E-2</v>
      </c>
      <c r="M16" s="8"/>
      <c r="N16" s="12" t="s">
        <v>115</v>
      </c>
      <c r="O16" s="9" t="s">
        <v>47</v>
      </c>
      <c r="P16" s="7" t="s">
        <v>48</v>
      </c>
      <c r="Q16" s="7" t="s">
        <v>139</v>
      </c>
      <c r="R16" s="7" t="s">
        <v>140</v>
      </c>
      <c r="S16" s="7" t="s">
        <v>141</v>
      </c>
      <c r="T16" s="7" t="s">
        <v>36</v>
      </c>
      <c r="U16" s="7" t="s">
        <v>119</v>
      </c>
    </row>
    <row r="17" spans="1:21" ht="42" customHeight="1">
      <c r="A17" s="7" t="s">
        <v>21</v>
      </c>
      <c r="B17" s="30" t="s">
        <v>105</v>
      </c>
      <c r="C17" s="7" t="s">
        <v>40</v>
      </c>
      <c r="D17" s="7" t="s">
        <v>111</v>
      </c>
      <c r="E17" s="7" t="s">
        <v>138</v>
      </c>
      <c r="F17" s="7"/>
      <c r="G17" s="7" t="s">
        <v>129</v>
      </c>
      <c r="H17" s="7" t="s">
        <v>142</v>
      </c>
      <c r="I17" s="7" t="s">
        <v>45</v>
      </c>
      <c r="J17" s="11">
        <v>2</v>
      </c>
      <c r="K17" s="11">
        <v>137</v>
      </c>
      <c r="L17" s="21">
        <f t="shared" si="0"/>
        <v>1.4598540145985401E-2</v>
      </c>
      <c r="M17" s="8"/>
      <c r="N17" s="12" t="s">
        <v>115</v>
      </c>
      <c r="O17" s="9" t="s">
        <v>47</v>
      </c>
      <c r="P17" s="7" t="s">
        <v>48</v>
      </c>
      <c r="Q17" s="7" t="s">
        <v>143</v>
      </c>
      <c r="R17" s="7" t="s">
        <v>144</v>
      </c>
      <c r="S17" s="7" t="s">
        <v>145</v>
      </c>
      <c r="T17" s="7" t="s">
        <v>36</v>
      </c>
      <c r="U17" s="7" t="s">
        <v>119</v>
      </c>
    </row>
    <row r="18" spans="1:21" ht="42" customHeight="1">
      <c r="A18" s="7" t="s">
        <v>38</v>
      </c>
      <c r="B18" s="30" t="s">
        <v>39</v>
      </c>
      <c r="C18" s="7" t="s">
        <v>40</v>
      </c>
      <c r="D18" s="7" t="s">
        <v>146</v>
      </c>
      <c r="E18" s="7" t="s">
        <v>147</v>
      </c>
      <c r="F18" s="7"/>
      <c r="G18" s="7" t="s">
        <v>148</v>
      </c>
      <c r="H18" s="7" t="s">
        <v>149</v>
      </c>
      <c r="I18" s="7" t="s">
        <v>45</v>
      </c>
      <c r="J18" s="11">
        <v>3</v>
      </c>
      <c r="K18" s="11">
        <v>137</v>
      </c>
      <c r="L18" s="21">
        <f t="shared" si="0"/>
        <v>2.1897810218978103E-2</v>
      </c>
      <c r="M18" s="8"/>
      <c r="N18" s="12" t="s">
        <v>150</v>
      </c>
      <c r="O18" s="9" t="s">
        <v>47</v>
      </c>
      <c r="P18" s="7" t="s">
        <v>48</v>
      </c>
      <c r="Q18" s="7" t="s">
        <v>151</v>
      </c>
      <c r="R18" s="7" t="s">
        <v>152</v>
      </c>
      <c r="S18" s="7" t="s">
        <v>153</v>
      </c>
      <c r="T18" s="7" t="s">
        <v>36</v>
      </c>
      <c r="U18" s="7" t="s">
        <v>154</v>
      </c>
    </row>
    <row r="19" spans="1:21" ht="42" customHeight="1">
      <c r="A19" s="7" t="s">
        <v>21</v>
      </c>
      <c r="B19" s="30" t="s">
        <v>155</v>
      </c>
      <c r="C19" s="7" t="s">
        <v>23</v>
      </c>
      <c r="D19" s="7" t="s">
        <v>156</v>
      </c>
      <c r="E19" s="7"/>
      <c r="F19" s="7"/>
      <c r="G19" s="7" t="s">
        <v>157</v>
      </c>
      <c r="H19" s="7" t="s">
        <v>158</v>
      </c>
      <c r="I19" s="10" t="s">
        <v>29</v>
      </c>
      <c r="J19" s="11">
        <v>1</v>
      </c>
      <c r="K19" s="11"/>
      <c r="L19" s="21">
        <v>0.1111</v>
      </c>
      <c r="M19" s="8" t="s">
        <v>159</v>
      </c>
      <c r="N19" s="12">
        <v>45971</v>
      </c>
      <c r="O19" s="29" t="s">
        <v>31</v>
      </c>
      <c r="P19" s="7" t="s">
        <v>32</v>
      </c>
      <c r="Q19" s="7" t="s">
        <v>160</v>
      </c>
      <c r="R19" s="7" t="s">
        <v>161</v>
      </c>
      <c r="S19" s="7" t="s">
        <v>162</v>
      </c>
      <c r="T19" s="7" t="s">
        <v>36</v>
      </c>
      <c r="U19" s="7" t="s">
        <v>80</v>
      </c>
    </row>
    <row r="20" spans="1:21" ht="42" customHeight="1">
      <c r="A20" s="7" t="s">
        <v>38</v>
      </c>
      <c r="B20" s="30" t="s">
        <v>105</v>
      </c>
      <c r="C20" s="7" t="s">
        <v>40</v>
      </c>
      <c r="D20" s="7" t="s">
        <v>111</v>
      </c>
      <c r="E20" s="7" t="s">
        <v>112</v>
      </c>
      <c r="F20" s="7"/>
      <c r="G20" s="7" t="s">
        <v>125</v>
      </c>
      <c r="H20" s="7" t="s">
        <v>163</v>
      </c>
      <c r="I20" s="7" t="s">
        <v>45</v>
      </c>
      <c r="J20" s="11">
        <v>2</v>
      </c>
      <c r="K20" s="11">
        <v>125</v>
      </c>
      <c r="L20" s="21">
        <f>IF(OR(J20="",K20="",K20=0),"",J20/K20)</f>
        <v>1.6E-2</v>
      </c>
      <c r="M20" s="8"/>
      <c r="N20" s="12" t="s">
        <v>164</v>
      </c>
      <c r="O20" s="29" t="s">
        <v>47</v>
      </c>
      <c r="P20" s="7" t="s">
        <v>48</v>
      </c>
      <c r="Q20" s="7" t="s">
        <v>165</v>
      </c>
      <c r="R20" s="7" t="s">
        <v>166</v>
      </c>
      <c r="S20" s="7" t="s">
        <v>167</v>
      </c>
      <c r="T20" s="7" t="s">
        <v>36</v>
      </c>
      <c r="U20" s="7" t="s">
        <v>168</v>
      </c>
    </row>
    <row r="21" spans="1:21" ht="42" customHeight="1">
      <c r="A21" s="7" t="s">
        <v>38</v>
      </c>
      <c r="B21" s="30" t="s">
        <v>105</v>
      </c>
      <c r="C21" s="7" t="s">
        <v>40</v>
      </c>
      <c r="D21" s="7" t="s">
        <v>111</v>
      </c>
      <c r="E21" s="7" t="s">
        <v>112</v>
      </c>
      <c r="F21" s="7"/>
      <c r="G21" s="7" t="s">
        <v>120</v>
      </c>
      <c r="H21" s="7" t="s">
        <v>163</v>
      </c>
      <c r="I21" s="7" t="s">
        <v>45</v>
      </c>
      <c r="J21" s="11">
        <v>2</v>
      </c>
      <c r="K21" s="11">
        <v>125</v>
      </c>
      <c r="L21" s="21">
        <f>IF(OR(J21="",K21="",K21=0),"",J21/K21)</f>
        <v>1.6E-2</v>
      </c>
      <c r="M21" s="8"/>
      <c r="N21" s="12" t="s">
        <v>164</v>
      </c>
      <c r="O21" s="29" t="s">
        <v>47</v>
      </c>
      <c r="P21" s="7" t="s">
        <v>48</v>
      </c>
      <c r="Q21" s="7" t="s">
        <v>169</v>
      </c>
      <c r="R21" s="7" t="s">
        <v>170</v>
      </c>
      <c r="S21" s="7" t="s">
        <v>167</v>
      </c>
      <c r="T21" s="7" t="s">
        <v>36</v>
      </c>
      <c r="U21" s="7" t="s">
        <v>168</v>
      </c>
    </row>
    <row r="22" spans="1:21" ht="42" customHeight="1">
      <c r="A22" s="7" t="s">
        <v>81</v>
      </c>
      <c r="B22" s="30" t="s">
        <v>39</v>
      </c>
      <c r="C22" s="7" t="s">
        <v>40</v>
      </c>
      <c r="D22" s="7" t="s">
        <v>146</v>
      </c>
      <c r="E22" s="7" t="s">
        <v>171</v>
      </c>
      <c r="F22" s="7"/>
      <c r="G22" s="7" t="s">
        <v>172</v>
      </c>
      <c r="H22" s="7" t="s">
        <v>173</v>
      </c>
      <c r="I22" s="7" t="s">
        <v>45</v>
      </c>
      <c r="J22" s="11">
        <v>5</v>
      </c>
      <c r="K22" s="11">
        <v>98</v>
      </c>
      <c r="L22" s="21">
        <f>IF(OR(J22="",K22="",K22=0),"",J22/K22)</f>
        <v>5.1020408163265307E-2</v>
      </c>
      <c r="M22" s="8"/>
      <c r="N22" s="12" t="s">
        <v>174</v>
      </c>
      <c r="O22" s="29" t="s">
        <v>47</v>
      </c>
      <c r="P22" s="7" t="s">
        <v>48</v>
      </c>
      <c r="Q22" s="7" t="s">
        <v>175</v>
      </c>
      <c r="R22" s="7" t="s">
        <v>176</v>
      </c>
      <c r="S22" s="7" t="s">
        <v>177</v>
      </c>
      <c r="T22" s="7" t="s">
        <v>36</v>
      </c>
      <c r="U22" s="7" t="s">
        <v>178</v>
      </c>
    </row>
    <row r="23" spans="1:21" ht="42" customHeight="1">
      <c r="A23" s="7" t="s">
        <v>81</v>
      </c>
      <c r="B23" s="30" t="s">
        <v>39</v>
      </c>
      <c r="C23" s="7" t="s">
        <v>40</v>
      </c>
      <c r="D23" s="7" t="s">
        <v>146</v>
      </c>
      <c r="E23" s="7" t="s">
        <v>171</v>
      </c>
      <c r="F23" s="7"/>
      <c r="G23" s="7" t="s">
        <v>179</v>
      </c>
      <c r="H23" s="7" t="s">
        <v>173</v>
      </c>
      <c r="I23" s="7" t="s">
        <v>45</v>
      </c>
      <c r="J23" s="11">
        <v>4</v>
      </c>
      <c r="K23" s="11">
        <v>98</v>
      </c>
      <c r="L23" s="21">
        <f>IF(OR(J23="",K23="",K23=0),"",J23/K23)</f>
        <v>4.0816326530612242E-2</v>
      </c>
      <c r="M23" s="8"/>
      <c r="N23" s="12" t="s">
        <v>174</v>
      </c>
      <c r="O23" s="29" t="s">
        <v>47</v>
      </c>
      <c r="P23" s="7" t="s">
        <v>48</v>
      </c>
      <c r="Q23" s="7" t="s">
        <v>180</v>
      </c>
      <c r="R23" s="7" t="s">
        <v>181</v>
      </c>
      <c r="S23" s="7" t="s">
        <v>177</v>
      </c>
      <c r="T23" s="7" t="s">
        <v>36</v>
      </c>
      <c r="U23" s="7" t="s">
        <v>178</v>
      </c>
    </row>
    <row r="24" spans="1:21" ht="60" customHeight="1">
      <c r="A24" s="7" t="s">
        <v>182</v>
      </c>
      <c r="B24" s="30" t="s">
        <v>71</v>
      </c>
      <c r="C24" s="7" t="s">
        <v>40</v>
      </c>
      <c r="D24" s="7" t="s">
        <v>183</v>
      </c>
      <c r="E24" s="7" t="s">
        <v>184</v>
      </c>
      <c r="F24" s="7" t="s">
        <v>185</v>
      </c>
      <c r="G24" s="7" t="s">
        <v>186</v>
      </c>
      <c r="H24" s="7" t="s">
        <v>187</v>
      </c>
      <c r="I24" s="7" t="s">
        <v>188</v>
      </c>
      <c r="J24" s="8">
        <v>2</v>
      </c>
      <c r="K24" s="8">
        <v>24</v>
      </c>
      <c r="L24" s="24">
        <f>WorkmanshipResultsTable[[#This Row],[Number of Failed Units]]/WorkmanshipResultsTable[[#This Row],[Total Units Built]]</f>
        <v>8.3333333333333329E-2</v>
      </c>
      <c r="M24" s="8"/>
      <c r="N24" s="13">
        <v>46064</v>
      </c>
      <c r="O24" s="9"/>
      <c r="P24" s="7" t="s">
        <v>48</v>
      </c>
      <c r="Q24" s="7" t="s">
        <v>189</v>
      </c>
      <c r="R24" s="7"/>
      <c r="S24" s="7"/>
      <c r="T24" s="7"/>
      <c r="U24" s="7"/>
    </row>
    <row r="25" spans="1:21" ht="32" customHeight="1">
      <c r="A25" s="7" t="s">
        <v>81</v>
      </c>
      <c r="B25" s="30" t="s">
        <v>71</v>
      </c>
      <c r="C25" s="7" t="s">
        <v>40</v>
      </c>
      <c r="D25" s="7" t="s">
        <v>190</v>
      </c>
      <c r="E25" s="7" t="s">
        <v>191</v>
      </c>
      <c r="F25" s="7"/>
      <c r="G25" s="18" t="s">
        <v>192</v>
      </c>
      <c r="H25" s="7" t="s">
        <v>193</v>
      </c>
      <c r="I25" s="7" t="s">
        <v>194</v>
      </c>
      <c r="J25" s="8">
        <v>1</v>
      </c>
      <c r="K25" s="8">
        <v>79</v>
      </c>
      <c r="L25" s="24">
        <f>WorkmanshipResultsTable[[#This Row],[Number of Failed Units]]/WorkmanshipResultsTable[[#This Row],[Total Units Built]]</f>
        <v>1.2658227848101266E-2</v>
      </c>
      <c r="M25" s="8"/>
      <c r="N25" s="13">
        <v>45326</v>
      </c>
      <c r="O25" s="29" t="s">
        <v>195</v>
      </c>
      <c r="P25" s="7" t="s">
        <v>48</v>
      </c>
      <c r="Q25" s="7" t="s">
        <v>196</v>
      </c>
      <c r="R25" s="7"/>
      <c r="S25" s="7"/>
      <c r="T25" s="7"/>
      <c r="U25" s="7"/>
    </row>
    <row r="26" spans="1:21" ht="37" customHeight="1">
      <c r="A26" s="7" t="s">
        <v>81</v>
      </c>
      <c r="B26" s="30" t="s">
        <v>71</v>
      </c>
      <c r="C26" s="7" t="s">
        <v>197</v>
      </c>
      <c r="D26" s="7" t="s">
        <v>198</v>
      </c>
      <c r="E26" s="7"/>
      <c r="F26" s="7"/>
      <c r="G26" s="18" t="s">
        <v>192</v>
      </c>
      <c r="H26" s="7" t="s">
        <v>199</v>
      </c>
      <c r="I26" s="7" t="s">
        <v>194</v>
      </c>
      <c r="J26" s="8">
        <v>1</v>
      </c>
      <c r="K26" s="8">
        <v>19</v>
      </c>
      <c r="L26" s="24">
        <f>WorkmanshipResultsTable[[#This Row],[Number of Failed Units]]/WorkmanshipResultsTable[[#This Row],[Total Units Built]]</f>
        <v>5.2631578947368418E-2</v>
      </c>
      <c r="M26" s="8"/>
      <c r="N26" s="13">
        <v>45330</v>
      </c>
      <c r="O26" s="29" t="s">
        <v>47</v>
      </c>
      <c r="P26" s="7" t="s">
        <v>48</v>
      </c>
      <c r="Q26" s="7" t="s">
        <v>196</v>
      </c>
      <c r="R26" s="7"/>
      <c r="S26" s="7"/>
      <c r="T26" s="7"/>
      <c r="U26" s="7"/>
    </row>
    <row r="27" spans="1:21" ht="32" customHeight="1">
      <c r="A27" s="7" t="s">
        <v>182</v>
      </c>
      <c r="B27" s="30" t="s">
        <v>82</v>
      </c>
      <c r="C27" s="7" t="s">
        <v>40</v>
      </c>
      <c r="D27" s="7" t="s">
        <v>200</v>
      </c>
      <c r="E27" s="7" t="s">
        <v>201</v>
      </c>
      <c r="F27" s="7" t="s">
        <v>202</v>
      </c>
      <c r="G27" s="7" t="s">
        <v>203</v>
      </c>
      <c r="H27" s="7"/>
      <c r="I27" s="7" t="s">
        <v>194</v>
      </c>
      <c r="J27" s="8">
        <v>1</v>
      </c>
      <c r="K27" s="8"/>
      <c r="L27" s="22"/>
      <c r="M27" s="8" t="s">
        <v>204</v>
      </c>
      <c r="N27" s="13">
        <v>45512</v>
      </c>
      <c r="O27" s="9"/>
      <c r="P27" s="7" t="s">
        <v>205</v>
      </c>
      <c r="Q27" s="7" t="s">
        <v>206</v>
      </c>
      <c r="R27" s="7"/>
      <c r="S27" s="7"/>
      <c r="T27" s="7"/>
      <c r="U27" s="7"/>
    </row>
    <row r="28" spans="1:21" ht="30" customHeight="1">
      <c r="A28" s="7" t="s">
        <v>207</v>
      </c>
      <c r="B28" s="30" t="s">
        <v>208</v>
      </c>
      <c r="C28" s="7" t="s">
        <v>40</v>
      </c>
      <c r="D28" s="7" t="s">
        <v>209</v>
      </c>
      <c r="E28" s="7" t="s">
        <v>210</v>
      </c>
      <c r="F28" s="7" t="s">
        <v>211</v>
      </c>
      <c r="G28" s="7" t="s">
        <v>212</v>
      </c>
      <c r="H28" s="7" t="s">
        <v>213</v>
      </c>
      <c r="I28" s="7" t="s">
        <v>194</v>
      </c>
      <c r="J28" s="8">
        <v>1</v>
      </c>
      <c r="K28" s="8">
        <v>217</v>
      </c>
      <c r="L28" s="24">
        <f>WorkmanshipResultsTable[[#This Row],[Number of Failed Units]]/WorkmanshipResultsTable[[#This Row],[Total Units Built]]</f>
        <v>4.608294930875576E-3</v>
      </c>
      <c r="M28" s="8"/>
      <c r="N28" s="14">
        <v>45763</v>
      </c>
      <c r="O28" s="29" t="s">
        <v>195</v>
      </c>
      <c r="P28" s="7" t="s">
        <v>48</v>
      </c>
      <c r="Q28" s="7" t="s">
        <v>196</v>
      </c>
      <c r="R28" s="7"/>
      <c r="S28" s="7"/>
      <c r="T28" s="7"/>
      <c r="U28" s="7"/>
    </row>
    <row r="29" spans="1:21" ht="42" customHeight="1">
      <c r="A29" s="7" t="s">
        <v>207</v>
      </c>
      <c r="B29" s="30" t="s">
        <v>208</v>
      </c>
      <c r="C29" s="7" t="s">
        <v>40</v>
      </c>
      <c r="D29" s="7" t="s">
        <v>209</v>
      </c>
      <c r="E29" s="7" t="s">
        <v>214</v>
      </c>
      <c r="F29" s="7" t="s">
        <v>215</v>
      </c>
      <c r="G29" s="7" t="s">
        <v>216</v>
      </c>
      <c r="H29" s="7" t="s">
        <v>213</v>
      </c>
      <c r="I29" s="7" t="s">
        <v>194</v>
      </c>
      <c r="J29" s="8">
        <v>1</v>
      </c>
      <c r="K29" s="8">
        <v>217</v>
      </c>
      <c r="L29" s="24">
        <f>WorkmanshipResultsTable[[#This Row],[Number of Failed Units]]/WorkmanshipResultsTable[[#This Row],[Total Units Built]]</f>
        <v>4.608294930875576E-3</v>
      </c>
      <c r="M29" s="8"/>
      <c r="N29" s="14">
        <v>45765</v>
      </c>
      <c r="O29" s="29" t="s">
        <v>195</v>
      </c>
      <c r="P29" s="7" t="s">
        <v>48</v>
      </c>
      <c r="Q29" s="7" t="s">
        <v>196</v>
      </c>
      <c r="R29" s="7"/>
      <c r="S29" s="7"/>
      <c r="T29" s="7"/>
      <c r="U29" s="7"/>
    </row>
    <row r="30" spans="1:21" ht="32" customHeight="1">
      <c r="A30" s="7" t="s">
        <v>207</v>
      </c>
      <c r="B30" s="30" t="s">
        <v>71</v>
      </c>
      <c r="C30" s="7" t="s">
        <v>40</v>
      </c>
      <c r="D30" s="7" t="s">
        <v>217</v>
      </c>
      <c r="E30" s="7" t="s">
        <v>218</v>
      </c>
      <c r="F30" s="7" t="s">
        <v>219</v>
      </c>
      <c r="G30" s="7" t="s">
        <v>220</v>
      </c>
      <c r="H30" s="7" t="s">
        <v>221</v>
      </c>
      <c r="I30" s="7" t="s">
        <v>194</v>
      </c>
      <c r="J30" s="8">
        <v>1</v>
      </c>
      <c r="K30" s="8">
        <v>225</v>
      </c>
      <c r="L30" s="24">
        <f>WorkmanshipResultsTable[[#This Row],[Number of Failed Units]]/WorkmanshipResultsTable[[#This Row],[Total Units Built]]</f>
        <v>4.4444444444444444E-3</v>
      </c>
      <c r="M30" s="8"/>
      <c r="N30" s="14">
        <v>45775</v>
      </c>
      <c r="O30" s="29" t="s">
        <v>195</v>
      </c>
      <c r="P30" s="7" t="s">
        <v>48</v>
      </c>
      <c r="Q30" s="7" t="s">
        <v>196</v>
      </c>
      <c r="R30" s="7"/>
      <c r="S30" s="7"/>
      <c r="T30" s="7"/>
      <c r="U30" s="7"/>
    </row>
    <row r="31" spans="1:21" ht="31" customHeight="1">
      <c r="A31" s="7" t="s">
        <v>207</v>
      </c>
      <c r="B31" s="30" t="s">
        <v>208</v>
      </c>
      <c r="C31" s="7" t="s">
        <v>40</v>
      </c>
      <c r="D31" s="7" t="s">
        <v>209</v>
      </c>
      <c r="E31" s="7" t="s">
        <v>222</v>
      </c>
      <c r="F31" s="7" t="s">
        <v>223</v>
      </c>
      <c r="G31" s="7" t="s">
        <v>224</v>
      </c>
      <c r="H31" s="7" t="s">
        <v>213</v>
      </c>
      <c r="I31" s="7" t="s">
        <v>194</v>
      </c>
      <c r="J31" s="8">
        <v>1</v>
      </c>
      <c r="K31" s="8">
        <v>81</v>
      </c>
      <c r="L31" s="24">
        <f>WorkmanshipResultsTable[[#This Row],[Number of Failed Units]]/WorkmanshipResultsTable[[#This Row],[Total Units Built]]</f>
        <v>1.2345679012345678E-2</v>
      </c>
      <c r="M31" s="8"/>
      <c r="N31" s="14">
        <v>45778</v>
      </c>
      <c r="O31" s="29" t="s">
        <v>195</v>
      </c>
      <c r="P31" s="7" t="s">
        <v>48</v>
      </c>
      <c r="Q31" s="7" t="s">
        <v>196</v>
      </c>
      <c r="R31" s="7"/>
      <c r="S31" s="7"/>
      <c r="T31" s="7"/>
      <c r="U31" s="7"/>
    </row>
    <row r="32" spans="1:21" ht="16" customHeight="1">
      <c r="A32" s="7" t="s">
        <v>207</v>
      </c>
      <c r="B32" s="30" t="s">
        <v>225</v>
      </c>
      <c r="C32" s="7" t="s">
        <v>40</v>
      </c>
      <c r="D32" s="7" t="s">
        <v>226</v>
      </c>
      <c r="E32" s="7"/>
      <c r="F32" s="7" t="s">
        <v>227</v>
      </c>
      <c r="G32" s="7" t="s">
        <v>228</v>
      </c>
      <c r="H32" s="7" t="s">
        <v>229</v>
      </c>
      <c r="I32" s="7" t="s">
        <v>194</v>
      </c>
      <c r="J32" s="8">
        <v>1</v>
      </c>
      <c r="K32" s="8">
        <v>120</v>
      </c>
      <c r="L32" s="24">
        <f>WorkmanshipResultsTable[[#This Row],[Number of Failed Units]]/WorkmanshipResultsTable[[#This Row],[Total Units Built]]</f>
        <v>8.3333333333333332E-3</v>
      </c>
      <c r="M32" s="8"/>
      <c r="N32" s="14">
        <v>45782</v>
      </c>
      <c r="O32" s="29" t="s">
        <v>195</v>
      </c>
      <c r="P32" s="7" t="s">
        <v>48</v>
      </c>
      <c r="Q32" s="7" t="s">
        <v>196</v>
      </c>
      <c r="R32" s="7"/>
      <c r="S32" s="7"/>
      <c r="T32" s="7"/>
      <c r="U32" s="7"/>
    </row>
    <row r="33" spans="1:21" ht="43" customHeight="1">
      <c r="A33" s="7" t="s">
        <v>207</v>
      </c>
      <c r="B33" s="30" t="s">
        <v>208</v>
      </c>
      <c r="C33" s="7" t="s">
        <v>40</v>
      </c>
      <c r="D33" s="7" t="s">
        <v>209</v>
      </c>
      <c r="E33" s="7" t="s">
        <v>222</v>
      </c>
      <c r="F33" s="7" t="s">
        <v>230</v>
      </c>
      <c r="G33" s="7" t="s">
        <v>231</v>
      </c>
      <c r="H33" s="7" t="s">
        <v>213</v>
      </c>
      <c r="I33" s="7" t="s">
        <v>194</v>
      </c>
      <c r="J33" s="8">
        <v>1</v>
      </c>
      <c r="K33" s="8">
        <v>115</v>
      </c>
      <c r="L33" s="24">
        <f>WorkmanshipResultsTable[[#This Row],[Number of Failed Units]]/WorkmanshipResultsTable[[#This Row],[Total Units Built]]</f>
        <v>8.6956521739130436E-3</v>
      </c>
      <c r="M33" s="8"/>
      <c r="N33" s="14">
        <v>45783</v>
      </c>
      <c r="O33" s="29" t="s">
        <v>195</v>
      </c>
      <c r="P33" s="7" t="s">
        <v>48</v>
      </c>
      <c r="Q33" s="7" t="s">
        <v>196</v>
      </c>
      <c r="R33" s="7"/>
      <c r="S33" s="7"/>
      <c r="T33" s="7"/>
      <c r="U33" s="7"/>
    </row>
    <row r="34" spans="1:21" ht="32" customHeight="1">
      <c r="A34" s="7" t="s">
        <v>207</v>
      </c>
      <c r="B34" s="30" t="s">
        <v>71</v>
      </c>
      <c r="C34" s="7" t="s">
        <v>40</v>
      </c>
      <c r="D34" s="7" t="s">
        <v>232</v>
      </c>
      <c r="E34" s="7" t="s">
        <v>233</v>
      </c>
      <c r="F34" s="7" t="s">
        <v>234</v>
      </c>
      <c r="G34" s="7" t="s">
        <v>235</v>
      </c>
      <c r="H34" s="7" t="s">
        <v>236</v>
      </c>
      <c r="I34" s="7" t="s">
        <v>194</v>
      </c>
      <c r="J34" s="8">
        <v>1</v>
      </c>
      <c r="K34" s="8">
        <v>300</v>
      </c>
      <c r="L34" s="24">
        <f>WorkmanshipResultsTable[[#This Row],[Number of Failed Units]]/WorkmanshipResultsTable[[#This Row],[Total Units Built]]</f>
        <v>3.3333333333333335E-3</v>
      </c>
      <c r="M34" s="8"/>
      <c r="N34" s="14">
        <v>45826</v>
      </c>
      <c r="O34" s="29" t="s">
        <v>195</v>
      </c>
      <c r="P34" s="7" t="s">
        <v>48</v>
      </c>
      <c r="Q34" s="7" t="s">
        <v>196</v>
      </c>
      <c r="R34" s="7"/>
      <c r="S34" s="7"/>
      <c r="T34" s="7"/>
      <c r="U34" s="7"/>
    </row>
    <row r="35" spans="1:21" ht="47" customHeight="1">
      <c r="A35" s="7" t="s">
        <v>207</v>
      </c>
      <c r="B35" s="30" t="s">
        <v>1273</v>
      </c>
      <c r="C35" s="7" t="s">
        <v>40</v>
      </c>
      <c r="D35" s="7" t="s">
        <v>232</v>
      </c>
      <c r="E35" s="7" t="s">
        <v>233</v>
      </c>
      <c r="F35" s="7" t="s">
        <v>238</v>
      </c>
      <c r="G35" s="7" t="s">
        <v>239</v>
      </c>
      <c r="H35" s="7" t="s">
        <v>240</v>
      </c>
      <c r="I35" s="7" t="s">
        <v>194</v>
      </c>
      <c r="J35" s="8">
        <v>1</v>
      </c>
      <c r="K35" s="8">
        <v>435</v>
      </c>
      <c r="L35" s="24">
        <f>WorkmanshipResultsTable[[#This Row],[Number of Failed Units]]/WorkmanshipResultsTable[[#This Row],[Total Units Built]]</f>
        <v>2.2988505747126436E-3</v>
      </c>
      <c r="M35" s="8"/>
      <c r="N35" s="14">
        <v>45923</v>
      </c>
      <c r="O35" s="29" t="s">
        <v>195</v>
      </c>
      <c r="P35" s="7" t="s">
        <v>48</v>
      </c>
      <c r="Q35" s="7" t="s">
        <v>196</v>
      </c>
      <c r="R35" s="7"/>
      <c r="S35" s="7"/>
      <c r="T35" s="7"/>
      <c r="U35" s="7"/>
    </row>
    <row r="36" spans="1:21" ht="48" customHeight="1">
      <c r="A36" s="7" t="s">
        <v>207</v>
      </c>
      <c r="B36" s="30" t="s">
        <v>71</v>
      </c>
      <c r="C36" s="7" t="s">
        <v>40</v>
      </c>
      <c r="D36" s="7" t="s">
        <v>241</v>
      </c>
      <c r="E36" s="7" t="s">
        <v>191</v>
      </c>
      <c r="F36" s="7" t="s">
        <v>242</v>
      </c>
      <c r="G36" s="7" t="s">
        <v>243</v>
      </c>
      <c r="H36" s="7" t="s">
        <v>221</v>
      </c>
      <c r="I36" s="7" t="s">
        <v>194</v>
      </c>
      <c r="J36" s="8">
        <v>1</v>
      </c>
      <c r="K36" s="8">
        <v>12</v>
      </c>
      <c r="L36" s="24">
        <f>WorkmanshipResultsTable[[#This Row],[Number of Failed Units]]/WorkmanshipResultsTable[[#This Row],[Total Units Built]]</f>
        <v>8.3333333333333329E-2</v>
      </c>
      <c r="M36" s="8"/>
      <c r="N36" s="14">
        <v>45951</v>
      </c>
      <c r="O36" s="29" t="s">
        <v>195</v>
      </c>
      <c r="P36" s="7" t="s">
        <v>48</v>
      </c>
      <c r="Q36" s="7" t="s">
        <v>196</v>
      </c>
      <c r="R36" s="7"/>
      <c r="S36" s="7"/>
      <c r="T36" s="7"/>
      <c r="U36" s="7"/>
    </row>
    <row r="37" spans="1:21" ht="48" customHeight="1">
      <c r="A37" s="7" t="s">
        <v>244</v>
      </c>
      <c r="B37" s="30" t="s">
        <v>71</v>
      </c>
      <c r="C37" s="7" t="s">
        <v>40</v>
      </c>
      <c r="D37" s="7" t="s">
        <v>241</v>
      </c>
      <c r="E37" s="7" t="s">
        <v>191</v>
      </c>
      <c r="F37" s="7" t="s">
        <v>245</v>
      </c>
      <c r="G37" s="7" t="s">
        <v>243</v>
      </c>
      <c r="H37" s="7" t="s">
        <v>246</v>
      </c>
      <c r="I37" s="7" t="s">
        <v>194</v>
      </c>
      <c r="J37" s="8">
        <v>1</v>
      </c>
      <c r="K37" s="8">
        <v>12</v>
      </c>
      <c r="L37" s="24">
        <f>WorkmanshipResultsTable[[#This Row],[Number of Failed Units]]/WorkmanshipResultsTable[[#This Row],[Total Units Built]]</f>
        <v>8.3333333333333329E-2</v>
      </c>
      <c r="M37" s="8"/>
      <c r="N37" s="14">
        <v>45951</v>
      </c>
      <c r="O37" s="29" t="s">
        <v>195</v>
      </c>
      <c r="P37" s="7" t="s">
        <v>48</v>
      </c>
      <c r="Q37" s="7" t="s">
        <v>196</v>
      </c>
      <c r="R37" s="7"/>
      <c r="S37" s="7"/>
      <c r="T37" s="7"/>
      <c r="U37" s="7"/>
    </row>
    <row r="38" spans="1:21" ht="64" customHeight="1">
      <c r="A38" s="7" t="s">
        <v>244</v>
      </c>
      <c r="B38" s="30" t="s">
        <v>71</v>
      </c>
      <c r="C38" s="7" t="s">
        <v>40</v>
      </c>
      <c r="D38" s="7" t="s">
        <v>247</v>
      </c>
      <c r="E38" s="7" t="s">
        <v>248</v>
      </c>
      <c r="F38" s="7" t="s">
        <v>249</v>
      </c>
      <c r="G38" s="7" t="s">
        <v>250</v>
      </c>
      <c r="H38" s="7" t="s">
        <v>251</v>
      </c>
      <c r="I38" s="7" t="s">
        <v>194</v>
      </c>
      <c r="J38" s="8">
        <v>4</v>
      </c>
      <c r="K38" s="8">
        <v>99</v>
      </c>
      <c r="L38" s="24">
        <f>WorkmanshipResultsTable[[#This Row],[Number of Failed Units]]/WorkmanshipResultsTable[[#This Row],[Total Units Built]]</f>
        <v>4.0404040404040407E-2</v>
      </c>
      <c r="M38" s="8"/>
      <c r="N38" s="14">
        <v>45967</v>
      </c>
      <c r="O38" s="29" t="s">
        <v>195</v>
      </c>
      <c r="P38" s="7" t="s">
        <v>48</v>
      </c>
      <c r="Q38" s="7" t="s">
        <v>196</v>
      </c>
      <c r="R38" s="7"/>
      <c r="S38" s="7"/>
      <c r="T38" s="7"/>
      <c r="U38" s="7"/>
    </row>
    <row r="39" spans="1:21" ht="48" customHeight="1">
      <c r="A39" s="7" t="s">
        <v>244</v>
      </c>
      <c r="B39" s="30" t="s">
        <v>71</v>
      </c>
      <c r="C39" s="7" t="s">
        <v>40</v>
      </c>
      <c r="D39" s="7" t="s">
        <v>247</v>
      </c>
      <c r="E39" s="7" t="s">
        <v>248</v>
      </c>
      <c r="F39" s="7" t="s">
        <v>252</v>
      </c>
      <c r="G39" s="7" t="s">
        <v>253</v>
      </c>
      <c r="H39" s="7" t="s">
        <v>254</v>
      </c>
      <c r="I39" s="7" t="s">
        <v>194</v>
      </c>
      <c r="J39" s="8">
        <v>3</v>
      </c>
      <c r="K39" s="8">
        <v>99</v>
      </c>
      <c r="L39" s="24">
        <f>WorkmanshipResultsTable[[#This Row],[Number of Failed Units]]/WorkmanshipResultsTable[[#This Row],[Total Units Built]]</f>
        <v>3.0303030303030304E-2</v>
      </c>
      <c r="M39" s="8"/>
      <c r="N39" s="14">
        <v>45968</v>
      </c>
      <c r="O39" s="29" t="s">
        <v>195</v>
      </c>
      <c r="P39" s="7" t="s">
        <v>48</v>
      </c>
      <c r="Q39" s="7" t="s">
        <v>196</v>
      </c>
      <c r="R39" s="7"/>
      <c r="S39" s="7"/>
      <c r="T39" s="7"/>
      <c r="U39" s="7"/>
    </row>
    <row r="40" spans="1:21" ht="48" customHeight="1">
      <c r="A40" s="7" t="s">
        <v>244</v>
      </c>
      <c r="B40" s="30" t="s">
        <v>71</v>
      </c>
      <c r="C40" s="7" t="s">
        <v>40</v>
      </c>
      <c r="D40" s="7" t="s">
        <v>247</v>
      </c>
      <c r="E40" s="7" t="s">
        <v>248</v>
      </c>
      <c r="F40" s="7" t="s">
        <v>255</v>
      </c>
      <c r="G40" s="7" t="s">
        <v>243</v>
      </c>
      <c r="H40" s="7" t="s">
        <v>254</v>
      </c>
      <c r="I40" s="7" t="s">
        <v>194</v>
      </c>
      <c r="J40" s="8">
        <v>1</v>
      </c>
      <c r="K40" s="8">
        <v>50</v>
      </c>
      <c r="L40" s="24">
        <f>WorkmanshipResultsTable[[#This Row],[Number of Failed Units]]/WorkmanshipResultsTable[[#This Row],[Total Units Built]]</f>
        <v>0.02</v>
      </c>
      <c r="M40" s="8"/>
      <c r="N40" s="14">
        <v>45972</v>
      </c>
      <c r="O40" s="29" t="s">
        <v>195</v>
      </c>
      <c r="P40" s="7" t="s">
        <v>48</v>
      </c>
      <c r="Q40" s="7" t="s">
        <v>196</v>
      </c>
      <c r="R40" s="7"/>
      <c r="S40" s="7"/>
      <c r="T40" s="7"/>
      <c r="U40" s="7"/>
    </row>
    <row r="41" spans="1:21" ht="128" customHeight="1">
      <c r="A41" s="7" t="s">
        <v>244</v>
      </c>
      <c r="B41" s="30" t="s">
        <v>71</v>
      </c>
      <c r="C41" s="7" t="s">
        <v>40</v>
      </c>
      <c r="D41" s="7" t="s">
        <v>247</v>
      </c>
      <c r="E41" s="7" t="s">
        <v>248</v>
      </c>
      <c r="F41" s="7" t="s">
        <v>256</v>
      </c>
      <c r="G41" s="7" t="s">
        <v>243</v>
      </c>
      <c r="H41" s="7" t="s">
        <v>254</v>
      </c>
      <c r="I41" s="7" t="s">
        <v>194</v>
      </c>
      <c r="J41" s="8">
        <v>8</v>
      </c>
      <c r="K41" s="8">
        <v>50</v>
      </c>
      <c r="L41" s="24">
        <f>WorkmanshipResultsTable[[#This Row],[Number of Failed Units]]/WorkmanshipResultsTable[[#This Row],[Total Units Built]]</f>
        <v>0.16</v>
      </c>
      <c r="M41" s="8"/>
      <c r="N41" s="14">
        <v>45973</v>
      </c>
      <c r="O41" s="29" t="s">
        <v>195</v>
      </c>
      <c r="P41" s="7" t="s">
        <v>48</v>
      </c>
      <c r="Q41" s="7" t="s">
        <v>196</v>
      </c>
      <c r="R41" s="7"/>
      <c r="S41" s="7"/>
      <c r="T41" s="7"/>
      <c r="U41" s="7"/>
    </row>
    <row r="42" spans="1:21" ht="48" customHeight="1">
      <c r="A42" s="7" t="s">
        <v>244</v>
      </c>
      <c r="B42" s="30" t="s">
        <v>71</v>
      </c>
      <c r="C42" s="7" t="s">
        <v>197</v>
      </c>
      <c r="D42" s="7" t="s">
        <v>257</v>
      </c>
      <c r="E42" s="7" t="s">
        <v>258</v>
      </c>
      <c r="F42" s="7" t="s">
        <v>259</v>
      </c>
      <c r="G42" s="7" t="s">
        <v>243</v>
      </c>
      <c r="H42" s="7" t="s">
        <v>254</v>
      </c>
      <c r="I42" s="7" t="s">
        <v>194</v>
      </c>
      <c r="J42" s="8">
        <v>1</v>
      </c>
      <c r="K42" s="8">
        <v>63</v>
      </c>
      <c r="L42" s="24">
        <f>WorkmanshipResultsTable[[#This Row],[Number of Failed Units]]/WorkmanshipResultsTable[[#This Row],[Total Units Built]]</f>
        <v>1.5873015873015872E-2</v>
      </c>
      <c r="M42" s="8"/>
      <c r="N42" s="14">
        <v>45973</v>
      </c>
      <c r="O42" s="29" t="s">
        <v>195</v>
      </c>
      <c r="P42" s="7" t="s">
        <v>48</v>
      </c>
      <c r="Q42" s="7" t="s">
        <v>196</v>
      </c>
      <c r="R42" s="7"/>
      <c r="S42" s="7"/>
      <c r="T42" s="7"/>
      <c r="U42" s="7"/>
    </row>
    <row r="43" spans="1:21" ht="48" customHeight="1">
      <c r="A43" s="7" t="s">
        <v>244</v>
      </c>
      <c r="B43" s="30" t="s">
        <v>71</v>
      </c>
      <c r="C43" s="7" t="s">
        <v>40</v>
      </c>
      <c r="D43" s="7" t="s">
        <v>247</v>
      </c>
      <c r="E43" s="7" t="s">
        <v>248</v>
      </c>
      <c r="F43" s="7" t="s">
        <v>260</v>
      </c>
      <c r="G43" s="7" t="s">
        <v>243</v>
      </c>
      <c r="H43" s="7" t="s">
        <v>254</v>
      </c>
      <c r="I43" s="7" t="s">
        <v>194</v>
      </c>
      <c r="J43" s="8">
        <v>1</v>
      </c>
      <c r="K43" s="8">
        <v>50</v>
      </c>
      <c r="L43" s="24">
        <f>WorkmanshipResultsTable[[#This Row],[Number of Failed Units]]/WorkmanshipResultsTable[[#This Row],[Total Units Built]]</f>
        <v>0.02</v>
      </c>
      <c r="M43" s="8"/>
      <c r="N43" s="14">
        <v>45973</v>
      </c>
      <c r="O43" s="29" t="s">
        <v>195</v>
      </c>
      <c r="P43" s="7" t="s">
        <v>48</v>
      </c>
      <c r="Q43" s="7" t="s">
        <v>196</v>
      </c>
      <c r="R43" s="7"/>
      <c r="S43" s="7"/>
      <c r="T43" s="7"/>
      <c r="U43" s="7"/>
    </row>
    <row r="44" spans="1:21" ht="48" customHeight="1">
      <c r="A44" s="7" t="s">
        <v>182</v>
      </c>
      <c r="B44" s="30" t="s">
        <v>225</v>
      </c>
      <c r="C44" s="7" t="s">
        <v>23</v>
      </c>
      <c r="D44" s="7" t="s">
        <v>261</v>
      </c>
      <c r="E44" s="7"/>
      <c r="F44" s="7" t="s">
        <v>262</v>
      </c>
      <c r="G44" s="7" t="s">
        <v>263</v>
      </c>
      <c r="H44" s="7" t="s">
        <v>264</v>
      </c>
      <c r="I44" s="7" t="s">
        <v>265</v>
      </c>
      <c r="J44" s="8">
        <v>9</v>
      </c>
      <c r="K44" s="8">
        <v>569</v>
      </c>
      <c r="L44" s="21">
        <f>WorkmanshipResultsTable[[#This Row],[Number of Failed Units]]/WorkmanshipResultsTable[[#This Row],[Total Units Built]]</f>
        <v>1.5817223198594025E-2</v>
      </c>
      <c r="M44" s="8"/>
      <c r="N44" s="13">
        <v>45338</v>
      </c>
      <c r="O44" s="9"/>
      <c r="P44" s="7" t="s">
        <v>48</v>
      </c>
      <c r="Q44" s="7" t="s">
        <v>266</v>
      </c>
      <c r="R44" s="7"/>
      <c r="S44" s="7"/>
      <c r="T44" s="7"/>
      <c r="U44" s="7"/>
    </row>
    <row r="45" spans="1:21" ht="64" customHeight="1">
      <c r="A45" s="7" t="s">
        <v>244</v>
      </c>
      <c r="B45" s="30" t="s">
        <v>225</v>
      </c>
      <c r="C45" s="7" t="s">
        <v>40</v>
      </c>
      <c r="D45" s="7" t="s">
        <v>226</v>
      </c>
      <c r="E45" s="7" t="s">
        <v>267</v>
      </c>
      <c r="F45" s="7" t="s">
        <v>268</v>
      </c>
      <c r="G45" s="7" t="s">
        <v>269</v>
      </c>
      <c r="H45" s="7" t="s">
        <v>270</v>
      </c>
      <c r="I45" s="7" t="s">
        <v>194</v>
      </c>
      <c r="J45" s="8">
        <v>3</v>
      </c>
      <c r="K45" s="8">
        <v>9</v>
      </c>
      <c r="L45" s="24">
        <f>WorkmanshipResultsTable[[#This Row],[Number of Failed Units]]/WorkmanshipResultsTable[[#This Row],[Total Units Built]]</f>
        <v>0.33333333333333331</v>
      </c>
      <c r="M45" s="8"/>
      <c r="N45" s="14">
        <v>45981</v>
      </c>
      <c r="O45" s="29" t="s">
        <v>195</v>
      </c>
      <c r="P45" s="7" t="s">
        <v>48</v>
      </c>
      <c r="Q45" s="7" t="s">
        <v>196</v>
      </c>
      <c r="R45" s="7"/>
      <c r="S45" s="7"/>
      <c r="T45" s="7"/>
      <c r="U45" s="7"/>
    </row>
    <row r="46" spans="1:21" ht="32" customHeight="1">
      <c r="A46" s="7" t="s">
        <v>207</v>
      </c>
      <c r="B46" s="30" t="s">
        <v>71</v>
      </c>
      <c r="C46" s="7" t="s">
        <v>40</v>
      </c>
      <c r="D46" s="7" t="s">
        <v>241</v>
      </c>
      <c r="E46" s="7" t="s">
        <v>271</v>
      </c>
      <c r="F46" s="7" t="s">
        <v>272</v>
      </c>
      <c r="G46" s="7" t="s">
        <v>273</v>
      </c>
      <c r="H46" s="7" t="s">
        <v>254</v>
      </c>
      <c r="I46" s="7" t="s">
        <v>194</v>
      </c>
      <c r="J46" s="8">
        <v>1</v>
      </c>
      <c r="K46" s="8">
        <v>119</v>
      </c>
      <c r="L46" s="24">
        <f>WorkmanshipResultsTable[[#This Row],[Number of Failed Units]]/WorkmanshipResultsTable[[#This Row],[Total Units Built]]</f>
        <v>8.4033613445378148E-3</v>
      </c>
      <c r="M46" s="8"/>
      <c r="N46" s="14">
        <v>45981</v>
      </c>
      <c r="O46" s="29" t="s">
        <v>195</v>
      </c>
      <c r="P46" s="7" t="s">
        <v>48</v>
      </c>
      <c r="Q46" s="7" t="s">
        <v>196</v>
      </c>
      <c r="R46" s="7"/>
      <c r="S46" s="7"/>
      <c r="T46" s="7"/>
      <c r="U46" s="7"/>
    </row>
    <row r="47" spans="1:21" ht="64" customHeight="1">
      <c r="A47" s="7" t="s">
        <v>244</v>
      </c>
      <c r="B47" s="30" t="s">
        <v>225</v>
      </c>
      <c r="C47" s="7" t="s">
        <v>40</v>
      </c>
      <c r="D47" s="7" t="s">
        <v>274</v>
      </c>
      <c r="E47" s="3" t="s">
        <v>275</v>
      </c>
      <c r="F47" s="7" t="s">
        <v>276</v>
      </c>
      <c r="G47" s="7" t="s">
        <v>269</v>
      </c>
      <c r="H47" s="7" t="s">
        <v>270</v>
      </c>
      <c r="I47" s="7" t="s">
        <v>194</v>
      </c>
      <c r="J47" s="8">
        <v>4</v>
      </c>
      <c r="K47" s="8">
        <v>165</v>
      </c>
      <c r="L47" s="24">
        <f>WorkmanshipResultsTable[[#This Row],[Number of Failed Units]]/WorkmanshipResultsTable[[#This Row],[Total Units Built]]</f>
        <v>2.4242424242424242E-2</v>
      </c>
      <c r="M47" s="8"/>
      <c r="N47" s="14">
        <v>45981</v>
      </c>
      <c r="O47" s="29" t="s">
        <v>195</v>
      </c>
      <c r="P47" s="7" t="s">
        <v>48</v>
      </c>
      <c r="Q47" s="7" t="s">
        <v>196</v>
      </c>
      <c r="R47" s="7"/>
      <c r="S47" s="7"/>
      <c r="T47" s="7"/>
      <c r="U47" s="7"/>
    </row>
    <row r="48" spans="1:21" ht="32" customHeight="1">
      <c r="A48" s="7" t="s">
        <v>207</v>
      </c>
      <c r="B48" s="30" t="s">
        <v>225</v>
      </c>
      <c r="C48" s="7" t="s">
        <v>40</v>
      </c>
      <c r="D48" s="7" t="s">
        <v>232</v>
      </c>
      <c r="E48" s="7" t="s">
        <v>277</v>
      </c>
      <c r="F48" s="7" t="s">
        <v>278</v>
      </c>
      <c r="G48" s="7" t="s">
        <v>279</v>
      </c>
      <c r="H48" s="7" t="s">
        <v>246</v>
      </c>
      <c r="I48" s="7" t="s">
        <v>194</v>
      </c>
      <c r="J48" s="8">
        <v>1</v>
      </c>
      <c r="K48" s="8">
        <v>258</v>
      </c>
      <c r="L48" s="24">
        <f>WorkmanshipResultsTable[[#This Row],[Number of Failed Units]]/WorkmanshipResultsTable[[#This Row],[Total Units Built]]</f>
        <v>3.875968992248062E-3</v>
      </c>
      <c r="M48" s="8"/>
      <c r="N48" s="14">
        <v>46008</v>
      </c>
      <c r="O48" s="29" t="s">
        <v>195</v>
      </c>
      <c r="P48" s="7" t="s">
        <v>48</v>
      </c>
      <c r="Q48" s="7" t="s">
        <v>196</v>
      </c>
      <c r="R48" s="7"/>
      <c r="S48" s="7"/>
      <c r="T48" s="7"/>
      <c r="U48" s="7"/>
    </row>
    <row r="49" spans="1:21" ht="48" customHeight="1">
      <c r="A49" s="7" t="s">
        <v>207</v>
      </c>
      <c r="B49" s="30" t="s">
        <v>225</v>
      </c>
      <c r="C49" s="7" t="s">
        <v>40</v>
      </c>
      <c r="D49" s="7" t="s">
        <v>232</v>
      </c>
      <c r="E49" s="7" t="s">
        <v>277</v>
      </c>
      <c r="F49" s="7" t="s">
        <v>280</v>
      </c>
      <c r="G49" s="7" t="s">
        <v>281</v>
      </c>
      <c r="H49" s="7" t="s">
        <v>254</v>
      </c>
      <c r="I49" s="7" t="s">
        <v>194</v>
      </c>
      <c r="J49" s="8">
        <v>3</v>
      </c>
      <c r="K49" s="8">
        <v>264</v>
      </c>
      <c r="L49" s="24">
        <f>WorkmanshipResultsTable[[#This Row],[Number of Failed Units]]/WorkmanshipResultsTable[[#This Row],[Total Units Built]]</f>
        <v>1.1363636363636364E-2</v>
      </c>
      <c r="M49" s="8"/>
      <c r="N49" s="14">
        <v>46029</v>
      </c>
      <c r="O49" s="29" t="s">
        <v>195</v>
      </c>
      <c r="P49" s="7" t="s">
        <v>48</v>
      </c>
      <c r="Q49" s="7" t="s">
        <v>196</v>
      </c>
      <c r="R49" s="7"/>
      <c r="S49" s="7"/>
      <c r="T49" s="7"/>
      <c r="U49" s="7"/>
    </row>
    <row r="50" spans="1:21" ht="32" customHeight="1">
      <c r="A50" s="7" t="s">
        <v>207</v>
      </c>
      <c r="B50" s="30" t="s">
        <v>1272</v>
      </c>
      <c r="C50" s="7" t="s">
        <v>40</v>
      </c>
      <c r="D50" s="7" t="s">
        <v>232</v>
      </c>
      <c r="E50" s="7" t="s">
        <v>277</v>
      </c>
      <c r="F50" s="7" t="s">
        <v>282</v>
      </c>
      <c r="G50" s="7" t="s">
        <v>283</v>
      </c>
      <c r="H50" s="7" t="s">
        <v>284</v>
      </c>
      <c r="I50" s="7" t="s">
        <v>194</v>
      </c>
      <c r="J50" s="8">
        <v>2</v>
      </c>
      <c r="K50" s="8">
        <v>260</v>
      </c>
      <c r="L50" s="24">
        <f>WorkmanshipResultsTable[[#This Row],[Number of Failed Units]]/WorkmanshipResultsTable[[#This Row],[Total Units Built]]</f>
        <v>7.6923076923076927E-3</v>
      </c>
      <c r="M50" s="8"/>
      <c r="N50" s="14">
        <v>46035</v>
      </c>
      <c r="O50" s="29" t="s">
        <v>195</v>
      </c>
      <c r="P50" s="7" t="s">
        <v>48</v>
      </c>
      <c r="Q50" s="7" t="s">
        <v>196</v>
      </c>
      <c r="R50" s="7"/>
      <c r="S50" s="7"/>
      <c r="T50" s="7"/>
      <c r="U50" s="7"/>
    </row>
    <row r="51" spans="1:21" ht="48" customHeight="1">
      <c r="A51" s="7" t="s">
        <v>207</v>
      </c>
      <c r="B51" s="30" t="s">
        <v>208</v>
      </c>
      <c r="C51" s="7" t="s">
        <v>40</v>
      </c>
      <c r="D51" s="7" t="s">
        <v>285</v>
      </c>
      <c r="E51" s="7" t="s">
        <v>286</v>
      </c>
      <c r="F51" s="7" t="s">
        <v>287</v>
      </c>
      <c r="G51" s="7" t="s">
        <v>288</v>
      </c>
      <c r="H51" s="7" t="s">
        <v>213</v>
      </c>
      <c r="I51" s="7" t="s">
        <v>194</v>
      </c>
      <c r="J51" s="8">
        <v>1</v>
      </c>
      <c r="K51" s="8">
        <v>66</v>
      </c>
      <c r="L51" s="24">
        <f>WorkmanshipResultsTable[[#This Row],[Number of Failed Units]]/WorkmanshipResultsTable[[#This Row],[Total Units Built]]</f>
        <v>1.5151515151515152E-2</v>
      </c>
      <c r="M51" s="8"/>
      <c r="N51" s="14">
        <v>46036</v>
      </c>
      <c r="O51" s="29" t="s">
        <v>195</v>
      </c>
      <c r="P51" s="7" t="s">
        <v>48</v>
      </c>
      <c r="Q51" s="7" t="s">
        <v>196</v>
      </c>
      <c r="R51" s="7"/>
      <c r="S51" s="7"/>
      <c r="T51" s="7"/>
      <c r="U51" s="7"/>
    </row>
    <row r="52" spans="1:21" ht="112" customHeight="1">
      <c r="A52" s="7" t="s">
        <v>207</v>
      </c>
      <c r="B52" s="30" t="s">
        <v>71</v>
      </c>
      <c r="C52" s="7" t="s">
        <v>40</v>
      </c>
      <c r="D52" s="7" t="s">
        <v>232</v>
      </c>
      <c r="E52" s="7" t="s">
        <v>277</v>
      </c>
      <c r="F52" s="7" t="s">
        <v>289</v>
      </c>
      <c r="G52" s="7" t="s">
        <v>290</v>
      </c>
      <c r="H52" s="7" t="s">
        <v>246</v>
      </c>
      <c r="I52" s="7" t="s">
        <v>194</v>
      </c>
      <c r="J52" s="8">
        <v>7</v>
      </c>
      <c r="K52" s="8">
        <v>100</v>
      </c>
      <c r="L52" s="24">
        <f>WorkmanshipResultsTable[[#This Row],[Number of Failed Units]]/WorkmanshipResultsTable[[#This Row],[Total Units Built]]</f>
        <v>7.0000000000000007E-2</v>
      </c>
      <c r="M52" s="8"/>
      <c r="N52" s="14">
        <v>46046</v>
      </c>
      <c r="O52" s="29" t="s">
        <v>195</v>
      </c>
      <c r="P52" s="7" t="s">
        <v>48</v>
      </c>
      <c r="Q52" s="7" t="s">
        <v>196</v>
      </c>
      <c r="R52" s="7"/>
      <c r="S52" s="7"/>
      <c r="T52" s="7"/>
      <c r="U52" s="7"/>
    </row>
    <row r="53" spans="1:21" ht="48" customHeight="1">
      <c r="A53" s="7" t="s">
        <v>207</v>
      </c>
      <c r="B53" s="30" t="s">
        <v>98</v>
      </c>
      <c r="C53" s="7" t="s">
        <v>40</v>
      </c>
      <c r="D53" s="7" t="s">
        <v>291</v>
      </c>
      <c r="E53" s="7" t="s">
        <v>292</v>
      </c>
      <c r="F53" s="7" t="s">
        <v>293</v>
      </c>
      <c r="G53" s="7" t="s">
        <v>294</v>
      </c>
      <c r="H53" s="7" t="s">
        <v>295</v>
      </c>
      <c r="I53" s="7" t="s">
        <v>194</v>
      </c>
      <c r="J53" s="8">
        <v>1</v>
      </c>
      <c r="K53" s="8">
        <v>138</v>
      </c>
      <c r="L53" s="24">
        <f>WorkmanshipResultsTable[[#This Row],[Number of Failed Units]]/WorkmanshipResultsTable[[#This Row],[Total Units Built]]</f>
        <v>7.246376811594203E-3</v>
      </c>
      <c r="M53" s="8"/>
      <c r="N53" s="14">
        <v>46048</v>
      </c>
      <c r="O53" s="29" t="s">
        <v>195</v>
      </c>
      <c r="P53" s="7" t="s">
        <v>48</v>
      </c>
      <c r="Q53" s="7" t="s">
        <v>196</v>
      </c>
      <c r="R53" s="7"/>
      <c r="S53" s="7"/>
      <c r="T53" s="7"/>
      <c r="U53" s="7"/>
    </row>
    <row r="54" spans="1:21" ht="32" customHeight="1">
      <c r="A54" s="7" t="s">
        <v>207</v>
      </c>
      <c r="B54" s="30" t="s">
        <v>208</v>
      </c>
      <c r="C54" s="7" t="s">
        <v>40</v>
      </c>
      <c r="D54" s="7" t="s">
        <v>232</v>
      </c>
      <c r="E54" s="7" t="s">
        <v>277</v>
      </c>
      <c r="F54" s="7" t="s">
        <v>296</v>
      </c>
      <c r="G54" s="7" t="s">
        <v>297</v>
      </c>
      <c r="H54" s="7" t="s">
        <v>213</v>
      </c>
      <c r="I54" s="7" t="s">
        <v>194</v>
      </c>
      <c r="J54" s="8">
        <v>2</v>
      </c>
      <c r="K54" s="8">
        <v>147</v>
      </c>
      <c r="L54" s="24">
        <f>WorkmanshipResultsTable[[#This Row],[Number of Failed Units]]/WorkmanshipResultsTable[[#This Row],[Total Units Built]]</f>
        <v>1.3605442176870748E-2</v>
      </c>
      <c r="M54" s="8"/>
      <c r="N54" s="14">
        <v>46051</v>
      </c>
      <c r="O54" s="29" t="s">
        <v>195</v>
      </c>
      <c r="P54" s="7" t="s">
        <v>48</v>
      </c>
      <c r="Q54" s="7" t="s">
        <v>196</v>
      </c>
      <c r="R54" s="7"/>
      <c r="S54" s="7"/>
      <c r="T54" s="7"/>
      <c r="U54" s="7"/>
    </row>
    <row r="55" spans="1:21" ht="64" customHeight="1">
      <c r="A55" s="7" t="s">
        <v>207</v>
      </c>
      <c r="B55" s="30" t="s">
        <v>71</v>
      </c>
      <c r="C55" s="7" t="s">
        <v>40</v>
      </c>
      <c r="D55" s="7" t="s">
        <v>232</v>
      </c>
      <c r="E55" s="7" t="s">
        <v>277</v>
      </c>
      <c r="F55" s="7" t="s">
        <v>298</v>
      </c>
      <c r="G55" s="7" t="s">
        <v>299</v>
      </c>
      <c r="H55" s="7" t="s">
        <v>246</v>
      </c>
      <c r="I55" s="7" t="s">
        <v>194</v>
      </c>
      <c r="J55" s="8">
        <v>4</v>
      </c>
      <c r="K55" s="8">
        <v>147</v>
      </c>
      <c r="L55" s="24">
        <f>WorkmanshipResultsTable[[#This Row],[Number of Failed Units]]/WorkmanshipResultsTable[[#This Row],[Total Units Built]]</f>
        <v>2.7210884353741496E-2</v>
      </c>
      <c r="M55" s="8"/>
      <c r="N55" s="14">
        <v>46052</v>
      </c>
      <c r="O55" s="29" t="s">
        <v>195</v>
      </c>
      <c r="P55" s="7" t="s">
        <v>48</v>
      </c>
      <c r="Q55" s="7" t="s">
        <v>196</v>
      </c>
      <c r="R55" s="7"/>
      <c r="S55" s="7"/>
      <c r="T55" s="7"/>
      <c r="U55" s="7"/>
    </row>
    <row r="56" spans="1:21" ht="48" customHeight="1">
      <c r="A56" s="7" t="s">
        <v>244</v>
      </c>
      <c r="B56" s="30" t="s">
        <v>71</v>
      </c>
      <c r="C56" s="7" t="s">
        <v>40</v>
      </c>
      <c r="D56" s="7" t="s">
        <v>300</v>
      </c>
      <c r="E56" s="7" t="s">
        <v>301</v>
      </c>
      <c r="F56" s="7" t="s">
        <v>302</v>
      </c>
      <c r="G56" s="7" t="s">
        <v>303</v>
      </c>
      <c r="H56" s="7" t="s">
        <v>270</v>
      </c>
      <c r="I56" s="7" t="s">
        <v>194</v>
      </c>
      <c r="J56" s="8">
        <v>3</v>
      </c>
      <c r="K56" s="8">
        <v>9</v>
      </c>
      <c r="L56" s="24">
        <f>WorkmanshipResultsTable[[#This Row],[Number of Failed Units]]/WorkmanshipResultsTable[[#This Row],[Total Units Built]]</f>
        <v>0.33333333333333331</v>
      </c>
      <c r="M56" s="8"/>
      <c r="N56" s="14">
        <v>46100</v>
      </c>
      <c r="O56" s="29" t="s">
        <v>195</v>
      </c>
      <c r="P56" s="7" t="s">
        <v>48</v>
      </c>
      <c r="Q56" s="7" t="s">
        <v>196</v>
      </c>
      <c r="R56" s="7"/>
      <c r="S56" s="7"/>
      <c r="T56" s="7"/>
      <c r="U56" s="7"/>
    </row>
    <row r="57" spans="1:21" ht="32" customHeight="1">
      <c r="A57" s="7" t="s">
        <v>244</v>
      </c>
      <c r="B57" s="30" t="s">
        <v>1273</v>
      </c>
      <c r="C57" s="7" t="s">
        <v>40</v>
      </c>
      <c r="D57" s="7" t="s">
        <v>304</v>
      </c>
      <c r="E57" s="7" t="s">
        <v>305</v>
      </c>
      <c r="F57" s="7" t="s">
        <v>306</v>
      </c>
      <c r="G57" s="7" t="s">
        <v>307</v>
      </c>
      <c r="H57" s="7" t="s">
        <v>213</v>
      </c>
      <c r="I57" s="7" t="s">
        <v>194</v>
      </c>
      <c r="J57" s="8">
        <v>1</v>
      </c>
      <c r="K57" s="8">
        <v>51</v>
      </c>
      <c r="L57" s="24">
        <f>WorkmanshipResultsTable[[#This Row],[Number of Failed Units]]/WorkmanshipResultsTable[[#This Row],[Total Units Built]]</f>
        <v>1.9607843137254902E-2</v>
      </c>
      <c r="M57" s="8"/>
      <c r="N57" s="14">
        <v>46112</v>
      </c>
      <c r="O57" s="29" t="s">
        <v>195</v>
      </c>
      <c r="P57" s="7" t="s">
        <v>48</v>
      </c>
      <c r="Q57" s="7" t="s">
        <v>196</v>
      </c>
      <c r="R57" s="7"/>
      <c r="S57" s="7"/>
      <c r="T57" s="7"/>
      <c r="U57" s="7"/>
    </row>
    <row r="58" spans="1:21" ht="32" customHeight="1">
      <c r="A58" s="7" t="s">
        <v>207</v>
      </c>
      <c r="B58" s="30" t="s">
        <v>208</v>
      </c>
      <c r="C58" s="7" t="s">
        <v>40</v>
      </c>
      <c r="D58" s="7" t="s">
        <v>247</v>
      </c>
      <c r="E58" s="7" t="s">
        <v>308</v>
      </c>
      <c r="F58" s="7" t="s">
        <v>309</v>
      </c>
      <c r="G58" s="7" t="s">
        <v>310</v>
      </c>
      <c r="H58" s="7" t="s">
        <v>213</v>
      </c>
      <c r="I58" s="7" t="s">
        <v>194</v>
      </c>
      <c r="J58" s="8">
        <v>1</v>
      </c>
      <c r="K58" s="8">
        <v>48</v>
      </c>
      <c r="L58" s="24">
        <f>WorkmanshipResultsTable[[#This Row],[Number of Failed Units]]/WorkmanshipResultsTable[[#This Row],[Total Units Built]]</f>
        <v>2.0833333333333332E-2</v>
      </c>
      <c r="M58" s="8"/>
      <c r="N58" s="14">
        <v>46143</v>
      </c>
      <c r="O58" s="29" t="s">
        <v>195</v>
      </c>
      <c r="P58" s="7" t="s">
        <v>48</v>
      </c>
      <c r="Q58" s="7" t="s">
        <v>196</v>
      </c>
      <c r="R58" s="7"/>
      <c r="S58" s="7"/>
      <c r="T58" s="7"/>
      <c r="U58" s="7"/>
    </row>
    <row r="59" spans="1:21" ht="48" customHeight="1">
      <c r="A59" s="7" t="s">
        <v>311</v>
      </c>
      <c r="B59" s="30" t="s">
        <v>71</v>
      </c>
      <c r="C59" s="7" t="s">
        <v>40</v>
      </c>
      <c r="D59" s="7" t="s">
        <v>312</v>
      </c>
      <c r="E59" s="7" t="s">
        <v>313</v>
      </c>
      <c r="F59" s="7"/>
      <c r="G59" s="7" t="s">
        <v>314</v>
      </c>
      <c r="H59" s="7" t="s">
        <v>315</v>
      </c>
      <c r="I59" s="7" t="s">
        <v>194</v>
      </c>
      <c r="J59" s="8">
        <v>7</v>
      </c>
      <c r="K59" s="8">
        <v>229</v>
      </c>
      <c r="L59" s="24">
        <f>WorkmanshipResultsTable[[#This Row],[Number of Failed Units]]/WorkmanshipResultsTable[[#This Row],[Total Units Built]]</f>
        <v>3.0567685589519649E-2</v>
      </c>
      <c r="M59" s="8"/>
      <c r="N59" s="13">
        <v>46180</v>
      </c>
      <c r="O59" s="29" t="s">
        <v>47</v>
      </c>
      <c r="P59" s="7" t="s">
        <v>48</v>
      </c>
      <c r="Q59" s="7" t="s">
        <v>196</v>
      </c>
      <c r="R59" s="7"/>
      <c r="S59" s="7" t="s">
        <v>316</v>
      </c>
      <c r="T59" s="7"/>
      <c r="U59" s="7"/>
    </row>
    <row r="60" spans="1:21" ht="64" customHeight="1">
      <c r="A60" s="7" t="s">
        <v>317</v>
      </c>
      <c r="B60" s="30" t="s">
        <v>71</v>
      </c>
      <c r="C60" s="7" t="s">
        <v>23</v>
      </c>
      <c r="D60" s="7" t="s">
        <v>318</v>
      </c>
      <c r="E60" s="7"/>
      <c r="F60" s="7" t="s">
        <v>319</v>
      </c>
      <c r="G60" s="7" t="s">
        <v>320</v>
      </c>
      <c r="H60" s="7" t="s">
        <v>321</v>
      </c>
      <c r="I60" s="7" t="s">
        <v>29</v>
      </c>
      <c r="J60" s="8">
        <v>1</v>
      </c>
      <c r="K60" s="8"/>
      <c r="L60" s="22"/>
      <c r="M60" s="8"/>
      <c r="N60" s="13">
        <v>46059</v>
      </c>
      <c r="O60" s="9"/>
      <c r="P60" s="15" t="s">
        <v>48</v>
      </c>
      <c r="Q60" s="7" t="s">
        <v>322</v>
      </c>
      <c r="R60" s="7"/>
      <c r="S60" s="7"/>
      <c r="T60" s="7"/>
      <c r="U60" s="7"/>
    </row>
    <row r="61" spans="1:21" ht="64" customHeight="1">
      <c r="A61" s="7" t="s">
        <v>317</v>
      </c>
      <c r="B61" s="30" t="s">
        <v>71</v>
      </c>
      <c r="C61" s="7" t="s">
        <v>23</v>
      </c>
      <c r="D61" s="7" t="s">
        <v>323</v>
      </c>
      <c r="E61" s="7"/>
      <c r="F61" s="7" t="s">
        <v>324</v>
      </c>
      <c r="G61" s="7" t="s">
        <v>320</v>
      </c>
      <c r="H61" s="7" t="s">
        <v>325</v>
      </c>
      <c r="I61" s="7" t="s">
        <v>29</v>
      </c>
      <c r="J61" s="8">
        <v>1</v>
      </c>
      <c r="K61" s="8"/>
      <c r="L61" s="22"/>
      <c r="M61" s="8"/>
      <c r="N61" s="13">
        <v>46066</v>
      </c>
      <c r="O61" s="9"/>
      <c r="P61" s="15" t="s">
        <v>48</v>
      </c>
      <c r="Q61" s="7" t="s">
        <v>322</v>
      </c>
      <c r="R61" s="7"/>
      <c r="S61" s="7"/>
      <c r="T61" s="7"/>
      <c r="U61" s="7"/>
    </row>
    <row r="62" spans="1:21" ht="48" customHeight="1">
      <c r="A62" s="7" t="s">
        <v>182</v>
      </c>
      <c r="B62" s="30" t="s">
        <v>326</v>
      </c>
      <c r="C62" s="7" t="s">
        <v>23</v>
      </c>
      <c r="D62" s="7" t="s">
        <v>318</v>
      </c>
      <c r="E62" s="7"/>
      <c r="F62" s="7" t="s">
        <v>327</v>
      </c>
      <c r="G62" s="7" t="s">
        <v>328</v>
      </c>
      <c r="H62" s="7" t="s">
        <v>329</v>
      </c>
      <c r="I62" s="7" t="s">
        <v>29</v>
      </c>
      <c r="J62" s="8">
        <v>3</v>
      </c>
      <c r="K62" s="8">
        <v>40</v>
      </c>
      <c r="L62" s="21">
        <f>WorkmanshipResultsTable[[#This Row],[Number of Failed Units]]/WorkmanshipResultsTable[[#This Row],[Total Units Built]]</f>
        <v>7.4999999999999997E-2</v>
      </c>
      <c r="M62" s="8" t="s">
        <v>330</v>
      </c>
      <c r="N62" s="13">
        <v>45748</v>
      </c>
      <c r="O62" s="9" t="s">
        <v>331</v>
      </c>
      <c r="P62" s="15" t="s">
        <v>48</v>
      </c>
      <c r="Q62" s="7" t="s">
        <v>322</v>
      </c>
      <c r="R62" s="7"/>
      <c r="S62" s="7"/>
      <c r="T62" s="7"/>
      <c r="U62" s="7"/>
    </row>
    <row r="63" spans="1:21" ht="32" customHeight="1">
      <c r="A63" s="7" t="s">
        <v>332</v>
      </c>
      <c r="B63" s="30" t="s">
        <v>71</v>
      </c>
      <c r="C63" s="7" t="s">
        <v>23</v>
      </c>
      <c r="D63" s="7" t="s">
        <v>333</v>
      </c>
      <c r="E63" s="7"/>
      <c r="F63" s="7" t="s">
        <v>334</v>
      </c>
      <c r="G63" s="7" t="s">
        <v>335</v>
      </c>
      <c r="H63" s="7" t="s">
        <v>336</v>
      </c>
      <c r="I63" s="7" t="s">
        <v>29</v>
      </c>
      <c r="J63" s="8">
        <v>1</v>
      </c>
      <c r="K63" s="8"/>
      <c r="L63" s="22"/>
      <c r="M63" s="8"/>
      <c r="N63" s="8" t="s">
        <v>337</v>
      </c>
      <c r="O63" s="9"/>
      <c r="P63" s="15" t="s">
        <v>48</v>
      </c>
      <c r="Q63" s="7" t="s">
        <v>322</v>
      </c>
      <c r="R63" s="7"/>
      <c r="S63" s="7"/>
      <c r="T63" s="7"/>
      <c r="U63" s="7"/>
    </row>
    <row r="64" spans="1:21" ht="80" customHeight="1">
      <c r="A64" s="7" t="s">
        <v>332</v>
      </c>
      <c r="B64" s="30" t="s">
        <v>71</v>
      </c>
      <c r="C64" s="7" t="s">
        <v>23</v>
      </c>
      <c r="D64" s="7" t="s">
        <v>338</v>
      </c>
      <c r="E64" s="7"/>
      <c r="F64" s="7" t="s">
        <v>339</v>
      </c>
      <c r="G64" s="7" t="s">
        <v>340</v>
      </c>
      <c r="H64" s="19" t="s">
        <v>341</v>
      </c>
      <c r="I64" s="7" t="s">
        <v>29</v>
      </c>
      <c r="J64" s="8">
        <v>1</v>
      </c>
      <c r="K64" s="8"/>
      <c r="L64" s="22"/>
      <c r="M64" s="8"/>
      <c r="N64" s="8" t="s">
        <v>342</v>
      </c>
      <c r="O64" s="9"/>
      <c r="P64" s="15" t="s">
        <v>48</v>
      </c>
      <c r="Q64" s="7" t="s">
        <v>322</v>
      </c>
      <c r="R64" s="7"/>
      <c r="S64" s="7"/>
      <c r="T64" s="7"/>
      <c r="U64" s="7"/>
    </row>
    <row r="65" spans="1:21" ht="48" customHeight="1">
      <c r="A65" s="7" t="s">
        <v>332</v>
      </c>
      <c r="B65" s="30" t="s">
        <v>71</v>
      </c>
      <c r="C65" s="7" t="s">
        <v>23</v>
      </c>
      <c r="D65" s="7" t="s">
        <v>343</v>
      </c>
      <c r="E65" s="7"/>
      <c r="F65" s="7" t="s">
        <v>344</v>
      </c>
      <c r="G65" s="7" t="s">
        <v>345</v>
      </c>
      <c r="H65" s="19" t="s">
        <v>346</v>
      </c>
      <c r="I65" s="7" t="s">
        <v>29</v>
      </c>
      <c r="J65" s="8">
        <v>1</v>
      </c>
      <c r="K65" s="8"/>
      <c r="L65" s="22"/>
      <c r="M65" s="8"/>
      <c r="N65" s="8" t="s">
        <v>347</v>
      </c>
      <c r="O65" s="9"/>
      <c r="P65" s="15" t="s">
        <v>48</v>
      </c>
      <c r="Q65" s="7" t="s">
        <v>322</v>
      </c>
      <c r="R65" s="7"/>
      <c r="S65" s="7"/>
      <c r="T65" s="7"/>
      <c r="U65" s="7"/>
    </row>
    <row r="66" spans="1:21" ht="48" customHeight="1">
      <c r="A66" s="7" t="s">
        <v>332</v>
      </c>
      <c r="B66" s="30" t="s">
        <v>71</v>
      </c>
      <c r="C66" s="7" t="s">
        <v>23</v>
      </c>
      <c r="D66" s="7" t="s">
        <v>333</v>
      </c>
      <c r="E66" s="7"/>
      <c r="F66" s="7" t="s">
        <v>348</v>
      </c>
      <c r="G66" s="7" t="s">
        <v>349</v>
      </c>
      <c r="H66" s="7"/>
      <c r="I66" s="7" t="s">
        <v>29</v>
      </c>
      <c r="J66" s="8">
        <v>1</v>
      </c>
      <c r="K66" s="8"/>
      <c r="L66" s="22"/>
      <c r="M66" s="8"/>
      <c r="N66" s="8" t="s">
        <v>350</v>
      </c>
      <c r="O66" s="9"/>
      <c r="P66" s="15" t="s">
        <v>48</v>
      </c>
      <c r="Q66" s="7" t="s">
        <v>322</v>
      </c>
      <c r="R66" s="7"/>
      <c r="S66" s="7"/>
      <c r="T66" s="7"/>
      <c r="U66" s="7"/>
    </row>
    <row r="67" spans="1:21" ht="112" customHeight="1">
      <c r="A67" s="7" t="s">
        <v>351</v>
      </c>
      <c r="B67" s="30" t="s">
        <v>71</v>
      </c>
      <c r="C67" s="7" t="s">
        <v>23</v>
      </c>
      <c r="D67" s="7" t="s">
        <v>338</v>
      </c>
      <c r="E67" s="7"/>
      <c r="F67" s="7" t="s">
        <v>352</v>
      </c>
      <c r="G67" s="7" t="s">
        <v>353</v>
      </c>
      <c r="H67" s="7" t="s">
        <v>354</v>
      </c>
      <c r="I67" s="7" t="s">
        <v>29</v>
      </c>
      <c r="J67" s="8">
        <v>7</v>
      </c>
      <c r="K67" s="8"/>
      <c r="L67" s="22"/>
      <c r="M67" s="8"/>
      <c r="N67" s="8" t="s">
        <v>355</v>
      </c>
      <c r="O67" s="9"/>
      <c r="P67" s="15" t="s">
        <v>48</v>
      </c>
      <c r="Q67" s="7" t="s">
        <v>322</v>
      </c>
      <c r="R67" s="7"/>
      <c r="S67" s="7"/>
      <c r="T67" s="7"/>
      <c r="U67" s="7"/>
    </row>
    <row r="68" spans="1:21" ht="32" customHeight="1">
      <c r="A68" s="7" t="s">
        <v>332</v>
      </c>
      <c r="B68" s="30" t="s">
        <v>71</v>
      </c>
      <c r="C68" s="7" t="s">
        <v>23</v>
      </c>
      <c r="D68" s="7" t="s">
        <v>356</v>
      </c>
      <c r="E68" s="7"/>
      <c r="F68" s="7" t="s">
        <v>357</v>
      </c>
      <c r="G68" s="7" t="s">
        <v>358</v>
      </c>
      <c r="H68" s="7" t="s">
        <v>359</v>
      </c>
      <c r="I68" s="7" t="s">
        <v>29</v>
      </c>
      <c r="J68" s="8">
        <v>1</v>
      </c>
      <c r="K68" s="8"/>
      <c r="L68" s="22"/>
      <c r="M68" s="8"/>
      <c r="N68" s="8" t="s">
        <v>360</v>
      </c>
      <c r="O68" s="9"/>
      <c r="P68" s="15" t="s">
        <v>48</v>
      </c>
      <c r="Q68" s="7" t="s">
        <v>322</v>
      </c>
      <c r="R68" s="7"/>
      <c r="S68" s="7"/>
      <c r="T68" s="7"/>
      <c r="U68" s="7"/>
    </row>
    <row r="69" spans="1:21" ht="144" customHeight="1">
      <c r="A69" s="7" t="s">
        <v>361</v>
      </c>
      <c r="B69" s="30" t="s">
        <v>326</v>
      </c>
      <c r="C69" s="7" t="s">
        <v>23</v>
      </c>
      <c r="D69" s="7" t="s">
        <v>362</v>
      </c>
      <c r="E69" s="7"/>
      <c r="F69" s="7" t="s">
        <v>363</v>
      </c>
      <c r="G69" s="7" t="s">
        <v>364</v>
      </c>
      <c r="H69" s="7" t="s">
        <v>365</v>
      </c>
      <c r="I69" s="7" t="s">
        <v>29</v>
      </c>
      <c r="J69" s="8">
        <v>1</v>
      </c>
      <c r="K69" s="8"/>
      <c r="L69" s="22"/>
      <c r="M69" s="8"/>
      <c r="N69" s="8" t="s">
        <v>366</v>
      </c>
      <c r="O69" s="9"/>
      <c r="P69" s="15" t="s">
        <v>48</v>
      </c>
      <c r="Q69" s="7" t="s">
        <v>322</v>
      </c>
      <c r="R69" s="7"/>
      <c r="S69" s="7"/>
      <c r="T69" s="7"/>
      <c r="U69" s="7"/>
    </row>
    <row r="70" spans="1:21" ht="64" customHeight="1">
      <c r="A70" s="7" t="s">
        <v>361</v>
      </c>
      <c r="B70" s="30" t="s">
        <v>71</v>
      </c>
      <c r="C70" s="7" t="s">
        <v>23</v>
      </c>
      <c r="D70" s="7" t="s">
        <v>338</v>
      </c>
      <c r="E70" s="7"/>
      <c r="F70" s="7" t="s">
        <v>367</v>
      </c>
      <c r="G70" s="7" t="s">
        <v>368</v>
      </c>
      <c r="H70" s="7" t="s">
        <v>369</v>
      </c>
      <c r="I70" s="7" t="s">
        <v>29</v>
      </c>
      <c r="J70" s="8">
        <v>1</v>
      </c>
      <c r="K70" s="8"/>
      <c r="L70" s="22"/>
      <c r="M70" s="8"/>
      <c r="N70" s="8" t="s">
        <v>370</v>
      </c>
      <c r="O70" s="9"/>
      <c r="P70" s="15" t="s">
        <v>48</v>
      </c>
      <c r="Q70" s="7" t="s">
        <v>322</v>
      </c>
      <c r="R70" s="7"/>
      <c r="S70" s="7"/>
      <c r="T70" s="7"/>
      <c r="U70" s="7"/>
    </row>
    <row r="71" spans="1:21" ht="80" customHeight="1">
      <c r="A71" s="7" t="s">
        <v>332</v>
      </c>
      <c r="B71" s="30" t="s">
        <v>98</v>
      </c>
      <c r="C71" s="7" t="s">
        <v>23</v>
      </c>
      <c r="D71" s="7" t="s">
        <v>371</v>
      </c>
      <c r="E71" s="7"/>
      <c r="F71" s="7" t="s">
        <v>372</v>
      </c>
      <c r="G71" s="7" t="s">
        <v>373</v>
      </c>
      <c r="H71" s="19" t="s">
        <v>374</v>
      </c>
      <c r="I71" s="7" t="s">
        <v>29</v>
      </c>
      <c r="J71" s="8">
        <v>1</v>
      </c>
      <c r="K71" s="8"/>
      <c r="L71" s="22"/>
      <c r="M71" s="8"/>
      <c r="N71" s="8" t="s">
        <v>375</v>
      </c>
      <c r="O71" s="9"/>
      <c r="P71" s="15" t="s">
        <v>48</v>
      </c>
      <c r="Q71" s="7" t="s">
        <v>322</v>
      </c>
      <c r="R71" s="7"/>
      <c r="S71" s="7"/>
      <c r="T71" s="7"/>
      <c r="U71" s="7"/>
    </row>
    <row r="72" spans="1:21" ht="64" customHeight="1">
      <c r="A72" s="7" t="s">
        <v>376</v>
      </c>
      <c r="B72" s="30" t="s">
        <v>208</v>
      </c>
      <c r="C72" s="7" t="s">
        <v>23</v>
      </c>
      <c r="D72" s="7" t="s">
        <v>377</v>
      </c>
      <c r="E72" s="7"/>
      <c r="F72" s="7" t="s">
        <v>378</v>
      </c>
      <c r="G72" s="7" t="s">
        <v>379</v>
      </c>
      <c r="H72" s="7" t="s">
        <v>380</v>
      </c>
      <c r="I72" s="7" t="s">
        <v>29</v>
      </c>
      <c r="J72" s="8">
        <v>4</v>
      </c>
      <c r="K72" s="8"/>
      <c r="L72" s="22"/>
      <c r="M72" s="8"/>
      <c r="N72" s="8" t="s">
        <v>381</v>
      </c>
      <c r="O72" s="9"/>
      <c r="P72" s="15" t="s">
        <v>48</v>
      </c>
      <c r="Q72" s="7" t="s">
        <v>322</v>
      </c>
      <c r="R72" s="7"/>
      <c r="S72" s="7"/>
      <c r="T72" s="7"/>
      <c r="U72" s="7"/>
    </row>
    <row r="73" spans="1:21" ht="96" customHeight="1">
      <c r="A73" s="7" t="s">
        <v>376</v>
      </c>
      <c r="B73" s="30" t="s">
        <v>71</v>
      </c>
      <c r="C73" s="7" t="s">
        <v>23</v>
      </c>
      <c r="D73" s="7" t="s">
        <v>382</v>
      </c>
      <c r="E73" s="7"/>
      <c r="F73" s="7" t="s">
        <v>383</v>
      </c>
      <c r="G73" s="7" t="s">
        <v>384</v>
      </c>
      <c r="H73" s="7" t="s">
        <v>385</v>
      </c>
      <c r="I73" s="7" t="s">
        <v>29</v>
      </c>
      <c r="J73" s="8">
        <v>1</v>
      </c>
      <c r="K73" s="8">
        <v>54</v>
      </c>
      <c r="L73" s="21">
        <f>WorkmanshipResultsTable[[#This Row],[Number of Failed Units]]/WorkmanshipResultsTable[[#This Row],[Total Units Built]]</f>
        <v>1.8518518518518517E-2</v>
      </c>
      <c r="M73" s="8"/>
      <c r="N73" s="13">
        <v>46030</v>
      </c>
      <c r="O73" s="29" t="s">
        <v>386</v>
      </c>
      <c r="P73" s="15" t="s">
        <v>48</v>
      </c>
      <c r="Q73" s="7" t="s">
        <v>322</v>
      </c>
      <c r="R73" s="7"/>
      <c r="S73" s="7"/>
      <c r="T73" s="7"/>
      <c r="U73" s="7"/>
    </row>
    <row r="74" spans="1:21" ht="112" customHeight="1">
      <c r="A74" s="7" t="s">
        <v>376</v>
      </c>
      <c r="B74" s="30" t="s">
        <v>71</v>
      </c>
      <c r="C74" s="7" t="s">
        <v>23</v>
      </c>
      <c r="D74" s="7" t="s">
        <v>387</v>
      </c>
      <c r="E74" s="7"/>
      <c r="F74" s="7" t="s">
        <v>388</v>
      </c>
      <c r="G74" s="7" t="s">
        <v>384</v>
      </c>
      <c r="H74" s="7" t="s">
        <v>389</v>
      </c>
      <c r="I74" s="7" t="s">
        <v>29</v>
      </c>
      <c r="J74" s="8">
        <v>2</v>
      </c>
      <c r="K74" s="8"/>
      <c r="L74" s="22"/>
      <c r="M74" s="8"/>
      <c r="N74" s="8" t="s">
        <v>390</v>
      </c>
      <c r="O74" s="9"/>
      <c r="P74" s="15" t="s">
        <v>48</v>
      </c>
      <c r="Q74" s="7" t="s">
        <v>322</v>
      </c>
      <c r="R74" s="7"/>
      <c r="S74" s="7"/>
      <c r="T74" s="7"/>
      <c r="U74" s="7"/>
    </row>
    <row r="75" spans="1:21" ht="96" customHeight="1">
      <c r="A75" s="7" t="s">
        <v>376</v>
      </c>
      <c r="B75" s="30" t="s">
        <v>71</v>
      </c>
      <c r="C75" s="7" t="s">
        <v>23</v>
      </c>
      <c r="D75" s="7" t="s">
        <v>391</v>
      </c>
      <c r="E75" s="7"/>
      <c r="F75" s="7" t="s">
        <v>392</v>
      </c>
      <c r="G75" s="7" t="s">
        <v>393</v>
      </c>
      <c r="H75" s="7" t="s">
        <v>394</v>
      </c>
      <c r="I75" s="7" t="s">
        <v>29</v>
      </c>
      <c r="J75" s="8">
        <v>1</v>
      </c>
      <c r="K75" s="8"/>
      <c r="L75" s="22"/>
      <c r="M75" s="8"/>
      <c r="N75" s="8" t="s">
        <v>395</v>
      </c>
      <c r="O75" s="9"/>
      <c r="P75" s="15" t="s">
        <v>48</v>
      </c>
      <c r="Q75" s="7" t="s">
        <v>322</v>
      </c>
      <c r="R75" s="7"/>
      <c r="S75" s="7"/>
      <c r="T75" s="7"/>
      <c r="U75" s="7"/>
    </row>
    <row r="76" spans="1:21" ht="96" customHeight="1">
      <c r="A76" s="7" t="s">
        <v>396</v>
      </c>
      <c r="B76" s="30" t="s">
        <v>225</v>
      </c>
      <c r="C76" s="7" t="s">
        <v>23</v>
      </c>
      <c r="D76" s="7" t="s">
        <v>397</v>
      </c>
      <c r="E76" s="7"/>
      <c r="F76" s="7" t="s">
        <v>398</v>
      </c>
      <c r="G76" s="7" t="s">
        <v>399</v>
      </c>
      <c r="H76" s="7" t="s">
        <v>400</v>
      </c>
      <c r="I76" s="7" t="s">
        <v>29</v>
      </c>
      <c r="J76" s="8">
        <v>1</v>
      </c>
      <c r="K76" s="8"/>
      <c r="L76" s="22"/>
      <c r="M76" s="8"/>
      <c r="N76" s="8" t="s">
        <v>401</v>
      </c>
      <c r="O76" s="9"/>
      <c r="P76" s="15" t="s">
        <v>48</v>
      </c>
      <c r="Q76" s="7" t="s">
        <v>322</v>
      </c>
      <c r="R76" s="7"/>
      <c r="S76" s="7"/>
      <c r="T76" s="7"/>
      <c r="U76" s="7"/>
    </row>
    <row r="77" spans="1:21" ht="128" customHeight="1">
      <c r="A77" s="7" t="s">
        <v>402</v>
      </c>
      <c r="B77" s="30" t="s">
        <v>71</v>
      </c>
      <c r="C77" s="7" t="s">
        <v>23</v>
      </c>
      <c r="D77" s="7" t="s">
        <v>403</v>
      </c>
      <c r="E77" s="7"/>
      <c r="F77" s="7" t="s">
        <v>404</v>
      </c>
      <c r="G77" s="7" t="s">
        <v>405</v>
      </c>
      <c r="H77" s="7" t="s">
        <v>406</v>
      </c>
      <c r="I77" s="7" t="s">
        <v>29</v>
      </c>
      <c r="J77" s="8">
        <v>2</v>
      </c>
      <c r="K77" s="8"/>
      <c r="L77" s="22"/>
      <c r="M77" s="8"/>
      <c r="N77" s="8" t="s">
        <v>407</v>
      </c>
      <c r="O77" s="9"/>
      <c r="P77" s="15" t="s">
        <v>48</v>
      </c>
      <c r="Q77" s="7" t="s">
        <v>322</v>
      </c>
      <c r="R77" s="7"/>
      <c r="S77" s="7"/>
      <c r="T77" s="7"/>
      <c r="U77" s="7"/>
    </row>
    <row r="78" spans="1:21" ht="96" customHeight="1">
      <c r="A78" s="7" t="s">
        <v>361</v>
      </c>
      <c r="B78" s="30" t="s">
        <v>71</v>
      </c>
      <c r="C78" s="7" t="s">
        <v>23</v>
      </c>
      <c r="D78" s="7" t="s">
        <v>408</v>
      </c>
      <c r="E78" s="7"/>
      <c r="F78" s="7" t="s">
        <v>409</v>
      </c>
      <c r="G78" s="7" t="s">
        <v>410</v>
      </c>
      <c r="H78" s="7" t="s">
        <v>411</v>
      </c>
      <c r="I78" s="7" t="s">
        <v>29</v>
      </c>
      <c r="J78" s="8">
        <v>1</v>
      </c>
      <c r="K78" s="8"/>
      <c r="L78" s="22"/>
      <c r="M78" s="8"/>
      <c r="N78" s="8" t="s">
        <v>412</v>
      </c>
      <c r="O78" s="9"/>
      <c r="P78" s="15" t="s">
        <v>48</v>
      </c>
      <c r="Q78" s="7" t="s">
        <v>322</v>
      </c>
      <c r="R78" s="7"/>
      <c r="S78" s="7"/>
      <c r="T78" s="7"/>
      <c r="U78" s="7"/>
    </row>
    <row r="79" spans="1:21" ht="176" customHeight="1">
      <c r="A79" s="7" t="s">
        <v>402</v>
      </c>
      <c r="B79" s="30" t="s">
        <v>208</v>
      </c>
      <c r="C79" s="7" t="s">
        <v>23</v>
      </c>
      <c r="D79" s="7" t="s">
        <v>403</v>
      </c>
      <c r="E79" s="7"/>
      <c r="F79" s="7" t="s">
        <v>413</v>
      </c>
      <c r="G79" s="7" t="s">
        <v>414</v>
      </c>
      <c r="H79" s="7" t="s">
        <v>415</v>
      </c>
      <c r="I79" s="7" t="s">
        <v>29</v>
      </c>
      <c r="J79" s="8">
        <v>2</v>
      </c>
      <c r="K79" s="8"/>
      <c r="L79" s="22"/>
      <c r="M79" s="8"/>
      <c r="N79" s="8" t="s">
        <v>416</v>
      </c>
      <c r="O79" s="9"/>
      <c r="P79" s="15" t="s">
        <v>48</v>
      </c>
      <c r="Q79" s="7" t="s">
        <v>322</v>
      </c>
      <c r="R79" s="7"/>
      <c r="S79" s="7"/>
      <c r="T79" s="7"/>
      <c r="U79" s="7"/>
    </row>
    <row r="80" spans="1:21" ht="112" customHeight="1">
      <c r="A80" s="7" t="s">
        <v>402</v>
      </c>
      <c r="B80" s="30" t="s">
        <v>208</v>
      </c>
      <c r="C80" s="7" t="s">
        <v>23</v>
      </c>
      <c r="D80" s="7" t="s">
        <v>417</v>
      </c>
      <c r="E80" s="7"/>
      <c r="F80" s="7" t="s">
        <v>418</v>
      </c>
      <c r="G80" s="7" t="s">
        <v>419</v>
      </c>
      <c r="H80" s="7" t="s">
        <v>420</v>
      </c>
      <c r="I80" s="7" t="s">
        <v>29</v>
      </c>
      <c r="J80" s="8">
        <v>1</v>
      </c>
      <c r="K80" s="8"/>
      <c r="L80" s="22"/>
      <c r="M80" s="8"/>
      <c r="N80" s="8" t="s">
        <v>421</v>
      </c>
      <c r="O80" s="9"/>
      <c r="P80" s="15" t="s">
        <v>48</v>
      </c>
      <c r="Q80" s="7" t="s">
        <v>322</v>
      </c>
      <c r="R80" s="7"/>
      <c r="S80" s="7"/>
      <c r="T80" s="7"/>
      <c r="U80" s="7"/>
    </row>
    <row r="81" spans="1:21" ht="33" customHeight="1">
      <c r="A81" s="7" t="s">
        <v>182</v>
      </c>
      <c r="B81" s="30" t="s">
        <v>155</v>
      </c>
      <c r="C81" s="7" t="s">
        <v>40</v>
      </c>
      <c r="D81" s="7" t="s">
        <v>422</v>
      </c>
      <c r="E81" s="7" t="s">
        <v>423</v>
      </c>
      <c r="F81" s="7" t="s">
        <v>424</v>
      </c>
      <c r="G81" s="7" t="s">
        <v>425</v>
      </c>
      <c r="H81" s="7"/>
      <c r="I81" s="7" t="s">
        <v>426</v>
      </c>
      <c r="J81" s="8"/>
      <c r="K81" s="8"/>
      <c r="L81" s="22"/>
      <c r="M81" s="8" t="s">
        <v>427</v>
      </c>
      <c r="N81" s="13">
        <v>45391</v>
      </c>
      <c r="O81" s="9"/>
      <c r="P81" s="7" t="s">
        <v>205</v>
      </c>
      <c r="Q81" s="7" t="s">
        <v>206</v>
      </c>
      <c r="R81" s="7"/>
      <c r="S81" s="7"/>
      <c r="T81" s="7"/>
      <c r="U81" s="7"/>
    </row>
    <row r="82" spans="1:21" ht="33" customHeight="1">
      <c r="A82" s="7" t="s">
        <v>182</v>
      </c>
      <c r="B82" s="30" t="s">
        <v>428</v>
      </c>
      <c r="C82" s="7" t="s">
        <v>40</v>
      </c>
      <c r="D82" s="7" t="s">
        <v>429</v>
      </c>
      <c r="E82" s="7" t="s">
        <v>430</v>
      </c>
      <c r="F82" s="7" t="s">
        <v>431</v>
      </c>
      <c r="G82" s="7" t="s">
        <v>428</v>
      </c>
      <c r="H82" s="7"/>
      <c r="I82" s="7" t="s">
        <v>188</v>
      </c>
      <c r="J82" s="8"/>
      <c r="K82" s="8"/>
      <c r="L82" s="22"/>
      <c r="M82" s="8" t="s">
        <v>432</v>
      </c>
      <c r="N82" s="13">
        <v>45302</v>
      </c>
      <c r="O82" s="9"/>
      <c r="P82" s="7" t="s">
        <v>205</v>
      </c>
      <c r="Q82" s="7" t="s">
        <v>206</v>
      </c>
      <c r="R82" s="7"/>
      <c r="S82" s="7"/>
      <c r="T82" s="7"/>
      <c r="U82" s="7"/>
    </row>
    <row r="83" spans="1:21" ht="33" customHeight="1">
      <c r="A83" s="7" t="s">
        <v>182</v>
      </c>
      <c r="B83" s="30" t="s">
        <v>428</v>
      </c>
      <c r="C83" s="7" t="s">
        <v>40</v>
      </c>
      <c r="D83" s="7" t="s">
        <v>433</v>
      </c>
      <c r="E83" s="7" t="s">
        <v>434</v>
      </c>
      <c r="F83" s="7" t="s">
        <v>435</v>
      </c>
      <c r="G83" s="7" t="s">
        <v>428</v>
      </c>
      <c r="H83" s="7" t="s">
        <v>436</v>
      </c>
      <c r="I83" s="7" t="s">
        <v>188</v>
      </c>
      <c r="J83" s="8"/>
      <c r="K83" s="8"/>
      <c r="L83" s="22"/>
      <c r="M83" s="8" t="s">
        <v>437</v>
      </c>
      <c r="N83" s="13">
        <v>45506</v>
      </c>
      <c r="O83" s="9"/>
      <c r="P83" s="7" t="s">
        <v>205</v>
      </c>
      <c r="Q83" s="7" t="s">
        <v>206</v>
      </c>
      <c r="R83" s="7"/>
      <c r="S83" s="7"/>
      <c r="T83" s="7"/>
      <c r="U83" s="7"/>
    </row>
    <row r="84" spans="1:21" ht="33" customHeight="1">
      <c r="A84" s="7" t="s">
        <v>182</v>
      </c>
      <c r="B84" s="30" t="s">
        <v>155</v>
      </c>
      <c r="C84" s="7" t="s">
        <v>40</v>
      </c>
      <c r="D84" s="7" t="s">
        <v>438</v>
      </c>
      <c r="E84" s="7" t="s">
        <v>439</v>
      </c>
      <c r="F84" s="7" t="s">
        <v>440</v>
      </c>
      <c r="G84" s="7" t="s">
        <v>425</v>
      </c>
      <c r="H84" s="7" t="s">
        <v>441</v>
      </c>
      <c r="I84" s="7" t="s">
        <v>188</v>
      </c>
      <c r="J84" s="8"/>
      <c r="K84" s="8"/>
      <c r="L84" s="22"/>
      <c r="M84" s="8" t="s">
        <v>442</v>
      </c>
      <c r="N84" s="13">
        <v>45407</v>
      </c>
      <c r="O84" s="9"/>
      <c r="P84" s="7" t="s">
        <v>205</v>
      </c>
      <c r="Q84" s="7" t="s">
        <v>206</v>
      </c>
      <c r="R84" s="7"/>
      <c r="S84" s="7"/>
      <c r="T84" s="7"/>
      <c r="U84" s="7"/>
    </row>
    <row r="85" spans="1:21" ht="33" customHeight="1">
      <c r="A85" s="7" t="s">
        <v>182</v>
      </c>
      <c r="B85" s="30" t="s">
        <v>155</v>
      </c>
      <c r="C85" s="7" t="s">
        <v>40</v>
      </c>
      <c r="D85" s="7" t="s">
        <v>433</v>
      </c>
      <c r="E85" s="7" t="s">
        <v>434</v>
      </c>
      <c r="F85" s="7" t="s">
        <v>443</v>
      </c>
      <c r="G85" s="7" t="s">
        <v>425</v>
      </c>
      <c r="H85" s="7" t="s">
        <v>441</v>
      </c>
      <c r="I85" s="7" t="s">
        <v>188</v>
      </c>
      <c r="J85" s="8"/>
      <c r="K85" s="8"/>
      <c r="L85" s="22"/>
      <c r="M85" s="8" t="s">
        <v>444</v>
      </c>
      <c r="N85" s="13">
        <v>45489</v>
      </c>
      <c r="O85" s="9"/>
      <c r="P85" s="7" t="s">
        <v>205</v>
      </c>
      <c r="Q85" s="7" t="s">
        <v>206</v>
      </c>
      <c r="R85" s="7"/>
      <c r="S85" s="7"/>
      <c r="T85" s="7"/>
      <c r="U85" s="7"/>
    </row>
    <row r="86" spans="1:21" ht="33" customHeight="1">
      <c r="A86" s="7" t="s">
        <v>182</v>
      </c>
      <c r="B86" s="30" t="s">
        <v>445</v>
      </c>
      <c r="C86" s="7" t="s">
        <v>40</v>
      </c>
      <c r="D86" s="7" t="s">
        <v>446</v>
      </c>
      <c r="E86" s="7" t="s">
        <v>447</v>
      </c>
      <c r="F86" s="7" t="s">
        <v>448</v>
      </c>
      <c r="G86" s="7" t="s">
        <v>445</v>
      </c>
      <c r="H86" s="7" t="s">
        <v>449</v>
      </c>
      <c r="I86" s="7" t="s">
        <v>188</v>
      </c>
      <c r="J86" s="8"/>
      <c r="K86" s="8"/>
      <c r="L86" s="22"/>
      <c r="M86" s="8" t="s">
        <v>450</v>
      </c>
      <c r="N86" s="13">
        <v>45440</v>
      </c>
      <c r="O86" s="9"/>
      <c r="P86" s="7" t="s">
        <v>205</v>
      </c>
      <c r="Q86" s="7" t="s">
        <v>206</v>
      </c>
      <c r="R86" s="7"/>
      <c r="S86" s="7"/>
      <c r="T86" s="7"/>
      <c r="U86" s="7"/>
    </row>
    <row r="87" spans="1:21" ht="33" customHeight="1">
      <c r="A87" s="7" t="s">
        <v>182</v>
      </c>
      <c r="B87" s="30" t="s">
        <v>445</v>
      </c>
      <c r="C87" s="7" t="s">
        <v>40</v>
      </c>
      <c r="D87" s="7" t="s">
        <v>451</v>
      </c>
      <c r="E87" s="7" t="s">
        <v>452</v>
      </c>
      <c r="F87" s="7" t="s">
        <v>453</v>
      </c>
      <c r="G87" s="7" t="s">
        <v>445</v>
      </c>
      <c r="H87" s="7" t="s">
        <v>441</v>
      </c>
      <c r="I87" s="7" t="s">
        <v>188</v>
      </c>
      <c r="J87" s="8"/>
      <c r="K87" s="8"/>
      <c r="L87" s="22"/>
      <c r="M87" s="8" t="s">
        <v>454</v>
      </c>
      <c r="N87" s="13">
        <v>45446</v>
      </c>
      <c r="O87" s="9"/>
      <c r="P87" s="7" t="s">
        <v>205</v>
      </c>
      <c r="Q87" s="7" t="s">
        <v>206</v>
      </c>
      <c r="R87" s="7"/>
      <c r="S87" s="7"/>
      <c r="T87" s="7"/>
      <c r="U87" s="7"/>
    </row>
    <row r="88" spans="1:21" ht="33" customHeight="1">
      <c r="A88" s="7" t="s">
        <v>182</v>
      </c>
      <c r="B88" s="30" t="s">
        <v>445</v>
      </c>
      <c r="C88" s="7" t="s">
        <v>40</v>
      </c>
      <c r="D88" s="7" t="s">
        <v>455</v>
      </c>
      <c r="E88" s="7" t="s">
        <v>301</v>
      </c>
      <c r="F88" s="7" t="s">
        <v>456</v>
      </c>
      <c r="G88" s="7" t="s">
        <v>445</v>
      </c>
      <c r="H88" s="7" t="s">
        <v>441</v>
      </c>
      <c r="I88" s="7" t="s">
        <v>188</v>
      </c>
      <c r="J88" s="8"/>
      <c r="K88" s="8"/>
      <c r="L88" s="22"/>
      <c r="M88" s="8" t="s">
        <v>457</v>
      </c>
      <c r="N88" s="13">
        <v>45449</v>
      </c>
      <c r="O88" s="9"/>
      <c r="P88" s="7" t="s">
        <v>205</v>
      </c>
      <c r="Q88" s="7" t="s">
        <v>206</v>
      </c>
      <c r="R88" s="7"/>
      <c r="S88" s="7"/>
      <c r="T88" s="7"/>
      <c r="U88" s="7"/>
    </row>
    <row r="89" spans="1:21" ht="33" customHeight="1">
      <c r="A89" s="7" t="s">
        <v>182</v>
      </c>
      <c r="B89" s="30" t="s">
        <v>225</v>
      </c>
      <c r="C89" s="7" t="s">
        <v>40</v>
      </c>
      <c r="D89" s="7" t="s">
        <v>458</v>
      </c>
      <c r="E89" s="7" t="s">
        <v>459</v>
      </c>
      <c r="F89" s="7" t="s">
        <v>460</v>
      </c>
      <c r="G89" s="7" t="s">
        <v>225</v>
      </c>
      <c r="H89" s="7" t="s">
        <v>441</v>
      </c>
      <c r="I89" s="7" t="s">
        <v>188</v>
      </c>
      <c r="J89" s="8"/>
      <c r="K89" s="8"/>
      <c r="L89" s="22"/>
      <c r="M89" s="8" t="s">
        <v>461</v>
      </c>
      <c r="N89" s="13">
        <v>45428</v>
      </c>
      <c r="O89" s="9"/>
      <c r="P89" s="7" t="s">
        <v>205</v>
      </c>
      <c r="Q89" s="7" t="s">
        <v>206</v>
      </c>
      <c r="R89" s="7"/>
      <c r="S89" s="7"/>
      <c r="T89" s="7"/>
      <c r="U89" s="7"/>
    </row>
    <row r="90" spans="1:21" ht="33" customHeight="1">
      <c r="A90" s="7" t="s">
        <v>182</v>
      </c>
      <c r="B90" s="30" t="s">
        <v>1273</v>
      </c>
      <c r="C90" s="7" t="s">
        <v>40</v>
      </c>
      <c r="D90" s="7" t="s">
        <v>462</v>
      </c>
      <c r="E90" s="7" t="s">
        <v>463</v>
      </c>
      <c r="F90" s="7" t="s">
        <v>464</v>
      </c>
      <c r="G90" s="7" t="s">
        <v>1273</v>
      </c>
      <c r="H90" s="7" t="s">
        <v>465</v>
      </c>
      <c r="I90" s="7" t="s">
        <v>188</v>
      </c>
      <c r="J90" s="8"/>
      <c r="K90" s="8"/>
      <c r="L90" s="22"/>
      <c r="M90" s="8" t="s">
        <v>466</v>
      </c>
      <c r="N90" s="13">
        <v>45659</v>
      </c>
      <c r="O90" s="9"/>
      <c r="P90" s="7" t="s">
        <v>205</v>
      </c>
      <c r="Q90" s="7" t="s">
        <v>206</v>
      </c>
      <c r="R90" s="7"/>
      <c r="S90" s="7"/>
      <c r="T90" s="7"/>
      <c r="U90" s="7"/>
    </row>
    <row r="91" spans="1:21" ht="32" customHeight="1">
      <c r="A91" s="7" t="s">
        <v>311</v>
      </c>
      <c r="B91" s="30" t="s">
        <v>71</v>
      </c>
      <c r="C91" s="7" t="s">
        <v>40</v>
      </c>
      <c r="D91" s="7" t="s">
        <v>232</v>
      </c>
      <c r="E91" s="7" t="s">
        <v>467</v>
      </c>
      <c r="F91" s="7"/>
      <c r="G91" s="7" t="s">
        <v>468</v>
      </c>
      <c r="H91" s="7" t="s">
        <v>469</v>
      </c>
      <c r="I91" s="7" t="s">
        <v>194</v>
      </c>
      <c r="J91" s="8">
        <v>2</v>
      </c>
      <c r="K91" s="8">
        <v>259</v>
      </c>
      <c r="L91" s="24">
        <f>WorkmanshipResultsTable[[#This Row],[Number of Failed Units]]/WorkmanshipResultsTable[[#This Row],[Total Units Built]]</f>
        <v>7.7220077220077222E-3</v>
      </c>
      <c r="M91" s="8"/>
      <c r="N91" s="13">
        <v>46180</v>
      </c>
      <c r="O91" s="29" t="s">
        <v>47</v>
      </c>
      <c r="P91" s="7" t="s">
        <v>48</v>
      </c>
      <c r="Q91" s="7" t="s">
        <v>196</v>
      </c>
      <c r="R91" s="7"/>
      <c r="S91" s="7" t="s">
        <v>316</v>
      </c>
      <c r="T91" s="7"/>
      <c r="U91" s="7"/>
    </row>
    <row r="92" spans="1:21" ht="32" customHeight="1">
      <c r="A92" s="7" t="s">
        <v>182</v>
      </c>
      <c r="B92" s="30" t="s">
        <v>82</v>
      </c>
      <c r="C92" s="7" t="s">
        <v>40</v>
      </c>
      <c r="D92" s="7" t="s">
        <v>248</v>
      </c>
      <c r="E92" s="7" t="s">
        <v>210</v>
      </c>
      <c r="F92" s="7" t="s">
        <v>470</v>
      </c>
      <c r="G92" s="26" t="s">
        <v>203</v>
      </c>
      <c r="H92" s="7"/>
      <c r="I92" s="7" t="s">
        <v>188</v>
      </c>
      <c r="J92" s="8"/>
      <c r="K92" s="8"/>
      <c r="L92" s="22"/>
      <c r="M92" s="8" t="s">
        <v>471</v>
      </c>
      <c r="N92" s="13">
        <v>45587</v>
      </c>
      <c r="O92" s="9"/>
      <c r="P92" s="7" t="s">
        <v>205</v>
      </c>
      <c r="Q92" s="7" t="s">
        <v>206</v>
      </c>
      <c r="R92" s="7"/>
      <c r="S92" s="7"/>
      <c r="T92" s="7"/>
      <c r="U92" s="7"/>
    </row>
    <row r="93" spans="1:21" ht="32" customHeight="1">
      <c r="A93" s="7" t="s">
        <v>182</v>
      </c>
      <c r="B93" s="30" t="s">
        <v>82</v>
      </c>
      <c r="C93" s="7" t="s">
        <v>40</v>
      </c>
      <c r="D93" s="7" t="s">
        <v>438</v>
      </c>
      <c r="E93" s="7" t="s">
        <v>439</v>
      </c>
      <c r="F93" s="7" t="s">
        <v>472</v>
      </c>
      <c r="G93" s="7" t="s">
        <v>473</v>
      </c>
      <c r="H93" s="7"/>
      <c r="I93" s="7" t="s">
        <v>188</v>
      </c>
      <c r="J93" s="8"/>
      <c r="K93" s="8"/>
      <c r="L93" s="22"/>
      <c r="M93" s="8" t="s">
        <v>474</v>
      </c>
      <c r="N93" s="13">
        <v>45631</v>
      </c>
      <c r="O93" s="9"/>
      <c r="P93" s="7" t="s">
        <v>205</v>
      </c>
      <c r="Q93" s="7" t="s">
        <v>206</v>
      </c>
      <c r="R93" s="7"/>
      <c r="S93" s="7"/>
      <c r="T93" s="7"/>
      <c r="U93" s="7"/>
    </row>
    <row r="94" spans="1:21" ht="32" customHeight="1">
      <c r="A94" s="7" t="s">
        <v>182</v>
      </c>
      <c r="B94" s="30" t="s">
        <v>82</v>
      </c>
      <c r="C94" s="7" t="s">
        <v>40</v>
      </c>
      <c r="D94" s="7" t="s">
        <v>458</v>
      </c>
      <c r="E94" s="7" t="s">
        <v>459</v>
      </c>
      <c r="F94" s="7" t="s">
        <v>475</v>
      </c>
      <c r="G94" s="7" t="s">
        <v>476</v>
      </c>
      <c r="H94" s="7"/>
      <c r="I94" s="7" t="s">
        <v>188</v>
      </c>
      <c r="J94" s="8"/>
      <c r="K94" s="8"/>
      <c r="L94" s="22"/>
      <c r="M94" s="8" t="s">
        <v>477</v>
      </c>
      <c r="N94" s="13">
        <v>45664</v>
      </c>
      <c r="O94" s="9"/>
      <c r="P94" s="7" t="s">
        <v>205</v>
      </c>
      <c r="Q94" s="7" t="s">
        <v>206</v>
      </c>
      <c r="R94" s="7"/>
      <c r="S94" s="7"/>
      <c r="T94" s="7"/>
      <c r="U94" s="7"/>
    </row>
    <row r="95" spans="1:21" ht="16" customHeight="1">
      <c r="A95" s="7" t="s">
        <v>182</v>
      </c>
      <c r="B95" s="30" t="s">
        <v>155</v>
      </c>
      <c r="C95" s="7" t="s">
        <v>40</v>
      </c>
      <c r="D95" s="7" t="s">
        <v>478</v>
      </c>
      <c r="E95" s="7" t="s">
        <v>479</v>
      </c>
      <c r="F95" s="7" t="s">
        <v>480</v>
      </c>
      <c r="G95" s="7" t="s">
        <v>481</v>
      </c>
      <c r="H95" s="7"/>
      <c r="I95" s="10" t="s">
        <v>45</v>
      </c>
      <c r="J95" s="8"/>
      <c r="K95" s="8"/>
      <c r="L95" s="22"/>
      <c r="M95" s="8" t="s">
        <v>482</v>
      </c>
      <c r="N95" s="13">
        <v>45884</v>
      </c>
      <c r="O95" s="9"/>
      <c r="P95" s="7" t="s">
        <v>205</v>
      </c>
      <c r="Q95" s="7" t="s">
        <v>206</v>
      </c>
      <c r="R95" s="7"/>
      <c r="S95" s="7"/>
      <c r="T95" s="7"/>
      <c r="U95" s="7"/>
    </row>
    <row r="96" spans="1:21" ht="32" customHeight="1">
      <c r="A96" s="7" t="s">
        <v>182</v>
      </c>
      <c r="B96" s="30" t="s">
        <v>445</v>
      </c>
      <c r="C96" s="7" t="s">
        <v>40</v>
      </c>
      <c r="D96" s="7" t="s">
        <v>483</v>
      </c>
      <c r="E96" s="7" t="s">
        <v>484</v>
      </c>
      <c r="F96" s="7" t="s">
        <v>485</v>
      </c>
      <c r="G96" s="7" t="s">
        <v>486</v>
      </c>
      <c r="H96" s="7"/>
      <c r="I96" s="7" t="s">
        <v>426</v>
      </c>
      <c r="J96" s="8"/>
      <c r="K96" s="8"/>
      <c r="L96" s="22"/>
      <c r="M96" s="8" t="s">
        <v>487</v>
      </c>
      <c r="N96" s="13">
        <v>45373</v>
      </c>
      <c r="O96" s="9"/>
      <c r="P96" s="7" t="s">
        <v>205</v>
      </c>
      <c r="Q96" s="7" t="s">
        <v>206</v>
      </c>
      <c r="R96" s="7"/>
      <c r="S96" s="7"/>
      <c r="T96" s="7"/>
      <c r="U96" s="7"/>
    </row>
    <row r="97" spans="1:21" ht="32" customHeight="1">
      <c r="A97" s="7" t="s">
        <v>182</v>
      </c>
      <c r="B97" s="30" t="s">
        <v>82</v>
      </c>
      <c r="C97" s="7" t="s">
        <v>40</v>
      </c>
      <c r="D97" s="7" t="s">
        <v>488</v>
      </c>
      <c r="E97" s="7" t="s">
        <v>489</v>
      </c>
      <c r="F97" s="7" t="s">
        <v>490</v>
      </c>
      <c r="G97" s="7" t="s">
        <v>473</v>
      </c>
      <c r="H97" s="7"/>
      <c r="I97" s="7" t="s">
        <v>426</v>
      </c>
      <c r="J97" s="8"/>
      <c r="K97" s="8"/>
      <c r="L97" s="22"/>
      <c r="M97" s="8" t="s">
        <v>491</v>
      </c>
      <c r="N97" s="13">
        <v>45597</v>
      </c>
      <c r="O97" s="9"/>
      <c r="P97" s="7" t="s">
        <v>205</v>
      </c>
      <c r="Q97" s="7" t="s">
        <v>206</v>
      </c>
      <c r="R97" s="7"/>
      <c r="S97" s="7"/>
      <c r="T97" s="7"/>
      <c r="U97" s="7"/>
    </row>
    <row r="98" spans="1:21" ht="32" customHeight="1">
      <c r="A98" s="7" t="s">
        <v>182</v>
      </c>
      <c r="B98" s="30" t="s">
        <v>82</v>
      </c>
      <c r="C98" s="7" t="s">
        <v>40</v>
      </c>
      <c r="D98" s="7" t="s">
        <v>488</v>
      </c>
      <c r="E98" s="7" t="s">
        <v>492</v>
      </c>
      <c r="F98" s="7" t="s">
        <v>493</v>
      </c>
      <c r="G98" s="7" t="s">
        <v>473</v>
      </c>
      <c r="H98" s="7"/>
      <c r="I98" s="7" t="s">
        <v>426</v>
      </c>
      <c r="J98" s="8"/>
      <c r="K98" s="8"/>
      <c r="L98" s="22"/>
      <c r="M98" s="8" t="s">
        <v>494</v>
      </c>
      <c r="N98" s="13">
        <v>45597</v>
      </c>
      <c r="O98" s="9"/>
      <c r="P98" s="7" t="s">
        <v>205</v>
      </c>
      <c r="Q98" s="7" t="s">
        <v>206</v>
      </c>
      <c r="R98" s="7"/>
      <c r="S98" s="7"/>
      <c r="T98" s="7"/>
      <c r="U98" s="7"/>
    </row>
    <row r="99" spans="1:21" ht="32" customHeight="1">
      <c r="A99" s="7" t="s">
        <v>182</v>
      </c>
      <c r="B99" s="30" t="s">
        <v>82</v>
      </c>
      <c r="C99" s="7" t="s">
        <v>40</v>
      </c>
      <c r="D99" s="7" t="s">
        <v>488</v>
      </c>
      <c r="E99" s="7" t="s">
        <v>492</v>
      </c>
      <c r="F99" s="7" t="s">
        <v>495</v>
      </c>
      <c r="G99" s="7" t="s">
        <v>473</v>
      </c>
      <c r="H99" s="7"/>
      <c r="I99" s="7" t="s">
        <v>426</v>
      </c>
      <c r="J99" s="8"/>
      <c r="K99" s="8"/>
      <c r="L99" s="22"/>
      <c r="M99" s="8" t="s">
        <v>496</v>
      </c>
      <c r="N99" s="13">
        <v>45597</v>
      </c>
      <c r="O99" s="9"/>
      <c r="P99" s="7" t="s">
        <v>205</v>
      </c>
      <c r="Q99" s="7" t="s">
        <v>206</v>
      </c>
      <c r="R99" s="7"/>
      <c r="S99" s="7"/>
      <c r="T99" s="7"/>
      <c r="U99" s="7"/>
    </row>
    <row r="100" spans="1:21" ht="32" customHeight="1">
      <c r="A100" s="7" t="s">
        <v>182</v>
      </c>
      <c r="B100" s="30" t="s">
        <v>445</v>
      </c>
      <c r="C100" s="7" t="s">
        <v>40</v>
      </c>
      <c r="D100" s="7" t="s">
        <v>497</v>
      </c>
      <c r="E100" s="7" t="s">
        <v>492</v>
      </c>
      <c r="F100" s="7" t="s">
        <v>498</v>
      </c>
      <c r="G100" s="7" t="s">
        <v>499</v>
      </c>
      <c r="H100" s="7"/>
      <c r="I100" s="7" t="s">
        <v>426</v>
      </c>
      <c r="J100" s="8"/>
      <c r="K100" s="8"/>
      <c r="L100" s="22"/>
      <c r="M100" s="8" t="s">
        <v>500</v>
      </c>
      <c r="N100" s="13">
        <v>45628</v>
      </c>
      <c r="O100" s="9"/>
      <c r="P100" s="7" t="s">
        <v>205</v>
      </c>
      <c r="Q100" s="7" t="s">
        <v>206</v>
      </c>
      <c r="R100" s="7"/>
      <c r="S100" s="7"/>
      <c r="T100" s="7"/>
      <c r="U100" s="7"/>
    </row>
    <row r="101" spans="1:21" ht="48" customHeight="1">
      <c r="A101" s="7" t="s">
        <v>311</v>
      </c>
      <c r="B101" s="30" t="s">
        <v>71</v>
      </c>
      <c r="C101" s="7" t="s">
        <v>40</v>
      </c>
      <c r="D101" s="7" t="s">
        <v>501</v>
      </c>
      <c r="E101" s="7" t="s">
        <v>502</v>
      </c>
      <c r="F101" s="7"/>
      <c r="G101" s="7" t="s">
        <v>503</v>
      </c>
      <c r="H101" s="7" t="s">
        <v>504</v>
      </c>
      <c r="I101" s="7" t="s">
        <v>194</v>
      </c>
      <c r="J101" s="8">
        <v>1</v>
      </c>
      <c r="K101" s="8">
        <v>65</v>
      </c>
      <c r="L101" s="24">
        <f>WorkmanshipResultsTable[[#This Row],[Number of Failed Units]]/WorkmanshipResultsTable[[#This Row],[Total Units Built]]</f>
        <v>1.5384615384615385E-2</v>
      </c>
      <c r="M101" s="8"/>
      <c r="N101" s="13">
        <v>46180</v>
      </c>
      <c r="O101" s="29" t="s">
        <v>47</v>
      </c>
      <c r="P101" s="7" t="s">
        <v>48</v>
      </c>
      <c r="Q101" s="7" t="s">
        <v>196</v>
      </c>
      <c r="R101" s="7"/>
      <c r="S101" s="7" t="s">
        <v>316</v>
      </c>
      <c r="T101" s="7"/>
      <c r="U101" s="7"/>
    </row>
    <row r="102" spans="1:21" ht="32" customHeight="1">
      <c r="A102" s="7" t="s">
        <v>311</v>
      </c>
      <c r="B102" s="30" t="s">
        <v>71</v>
      </c>
      <c r="C102" s="7" t="s">
        <v>40</v>
      </c>
      <c r="D102" s="7" t="s">
        <v>505</v>
      </c>
      <c r="E102" s="7"/>
      <c r="F102" s="7"/>
      <c r="G102" s="7" t="s">
        <v>506</v>
      </c>
      <c r="H102" s="7" t="s">
        <v>504</v>
      </c>
      <c r="I102" s="7" t="s">
        <v>194</v>
      </c>
      <c r="J102" s="8">
        <v>1</v>
      </c>
      <c r="K102" s="8">
        <v>76</v>
      </c>
      <c r="L102" s="24">
        <f>WorkmanshipResultsTable[[#This Row],[Number of Failed Units]]/WorkmanshipResultsTable[[#This Row],[Total Units Built]]</f>
        <v>1.3157894736842105E-2</v>
      </c>
      <c r="M102" s="8"/>
      <c r="N102" s="13">
        <v>46180</v>
      </c>
      <c r="O102" s="29" t="s">
        <v>47</v>
      </c>
      <c r="P102" s="7" t="s">
        <v>48</v>
      </c>
      <c r="Q102" s="7" t="s">
        <v>196</v>
      </c>
      <c r="R102" s="7"/>
      <c r="S102" s="7" t="s">
        <v>316</v>
      </c>
      <c r="T102" s="7"/>
      <c r="U102" s="7"/>
    </row>
    <row r="103" spans="1:21" ht="64" customHeight="1">
      <c r="A103" s="7" t="s">
        <v>38</v>
      </c>
      <c r="B103" s="30" t="s">
        <v>71</v>
      </c>
      <c r="C103" s="7" t="s">
        <v>40</v>
      </c>
      <c r="D103" s="7" t="s">
        <v>507</v>
      </c>
      <c r="E103" s="7" t="s">
        <v>508</v>
      </c>
      <c r="F103" s="7"/>
      <c r="G103" s="18" t="s">
        <v>509</v>
      </c>
      <c r="H103" s="7" t="s">
        <v>510</v>
      </c>
      <c r="I103" s="7" t="s">
        <v>188</v>
      </c>
      <c r="J103" s="8">
        <v>214</v>
      </c>
      <c r="K103" s="8">
        <v>214</v>
      </c>
      <c r="L103" s="24">
        <f>WorkmanshipResultsTable[[#This Row],[Number of Failed Units]]/WorkmanshipResultsTable[[#This Row],[Total Units Built]]</f>
        <v>1</v>
      </c>
      <c r="M103" s="8"/>
      <c r="N103" s="13">
        <v>45758</v>
      </c>
      <c r="O103" s="9"/>
      <c r="P103" s="7" t="s">
        <v>48</v>
      </c>
      <c r="Q103" s="7" t="s">
        <v>511</v>
      </c>
      <c r="R103" s="7"/>
      <c r="S103" s="7"/>
      <c r="T103" s="7"/>
      <c r="U103" s="7"/>
    </row>
    <row r="104" spans="1:21" ht="176" customHeight="1">
      <c r="A104" s="7" t="s">
        <v>38</v>
      </c>
      <c r="B104" s="30" t="s">
        <v>98</v>
      </c>
      <c r="C104" s="7" t="s">
        <v>40</v>
      </c>
      <c r="D104" s="7" t="s">
        <v>512</v>
      </c>
      <c r="E104" s="7" t="s">
        <v>513</v>
      </c>
      <c r="F104" s="7" t="s">
        <v>514</v>
      </c>
      <c r="G104" s="7" t="s">
        <v>515</v>
      </c>
      <c r="H104" s="7" t="s">
        <v>516</v>
      </c>
      <c r="I104" s="7" t="s">
        <v>188</v>
      </c>
      <c r="J104" s="8">
        <v>1</v>
      </c>
      <c r="K104" s="8">
        <v>534</v>
      </c>
      <c r="L104" s="24">
        <f>WorkmanshipResultsTable[[#This Row],[Number of Failed Units]]/WorkmanshipResultsTable[[#This Row],[Total Units Built]]</f>
        <v>1.8726591760299626E-3</v>
      </c>
      <c r="M104" s="8"/>
      <c r="N104" s="13">
        <v>45828</v>
      </c>
      <c r="O104" s="9"/>
      <c r="P104" s="7" t="s">
        <v>48</v>
      </c>
      <c r="Q104" s="7" t="s">
        <v>511</v>
      </c>
      <c r="R104" s="7"/>
      <c r="S104" s="7"/>
      <c r="T104" s="7"/>
      <c r="U104" s="7"/>
    </row>
    <row r="105" spans="1:21" ht="112" customHeight="1">
      <c r="A105" s="7" t="s">
        <v>81</v>
      </c>
      <c r="B105" s="30" t="s">
        <v>82</v>
      </c>
      <c r="C105" s="7" t="s">
        <v>40</v>
      </c>
      <c r="D105" s="7" t="s">
        <v>517</v>
      </c>
      <c r="E105" s="7" t="s">
        <v>518</v>
      </c>
      <c r="F105" s="7"/>
      <c r="G105" s="7" t="s">
        <v>519</v>
      </c>
      <c r="H105" s="7" t="s">
        <v>520</v>
      </c>
      <c r="I105" s="10" t="s">
        <v>45</v>
      </c>
      <c r="J105" s="8">
        <v>9</v>
      </c>
      <c r="K105" s="8">
        <v>119</v>
      </c>
      <c r="L105" s="24">
        <f>WorkmanshipResultsTable[[#This Row],[Number of Failed Units]]/WorkmanshipResultsTable[[#This Row],[Total Units Built]]</f>
        <v>7.5630252100840331E-2</v>
      </c>
      <c r="M105" s="8"/>
      <c r="N105" s="8" t="s">
        <v>521</v>
      </c>
      <c r="O105" s="29" t="s">
        <v>47</v>
      </c>
      <c r="P105" s="7" t="s">
        <v>48</v>
      </c>
      <c r="Q105" s="7" t="s">
        <v>522</v>
      </c>
      <c r="R105" s="7"/>
      <c r="S105" s="7"/>
      <c r="T105" s="7"/>
      <c r="U105" s="7"/>
    </row>
    <row r="106" spans="1:21" ht="48" customHeight="1">
      <c r="A106" s="7" t="s">
        <v>523</v>
      </c>
      <c r="B106" s="30" t="s">
        <v>71</v>
      </c>
      <c r="C106" s="7" t="s">
        <v>40</v>
      </c>
      <c r="D106" s="7" t="s">
        <v>524</v>
      </c>
      <c r="E106" s="7" t="s">
        <v>525</v>
      </c>
      <c r="F106" s="7"/>
      <c r="G106" s="7" t="s">
        <v>526</v>
      </c>
      <c r="H106" s="7" t="s">
        <v>527</v>
      </c>
      <c r="I106" s="10" t="s">
        <v>45</v>
      </c>
      <c r="J106" s="8">
        <v>6</v>
      </c>
      <c r="K106" s="8">
        <v>68</v>
      </c>
      <c r="L106" s="24">
        <f>WorkmanshipResultsTable[[#This Row],[Number of Failed Units]]/WorkmanshipResultsTable[[#This Row],[Total Units Built]]</f>
        <v>8.8235294117647065E-2</v>
      </c>
      <c r="M106" s="8"/>
      <c r="N106" s="8" t="s">
        <v>528</v>
      </c>
      <c r="O106" s="29" t="s">
        <v>47</v>
      </c>
      <c r="P106" s="7" t="s">
        <v>48</v>
      </c>
      <c r="Q106" s="7" t="s">
        <v>522</v>
      </c>
      <c r="R106" s="7"/>
      <c r="S106" s="7"/>
      <c r="T106" s="7"/>
      <c r="U106" s="7"/>
    </row>
    <row r="107" spans="1:21" ht="96" customHeight="1">
      <c r="A107" s="7" t="s">
        <v>81</v>
      </c>
      <c r="B107" s="30" t="s">
        <v>71</v>
      </c>
      <c r="C107" s="7" t="s">
        <v>40</v>
      </c>
      <c r="D107" s="7" t="s">
        <v>529</v>
      </c>
      <c r="E107" s="7" t="s">
        <v>530</v>
      </c>
      <c r="F107" s="7" t="s">
        <v>531</v>
      </c>
      <c r="G107" s="7" t="s">
        <v>532</v>
      </c>
      <c r="H107" s="7" t="s">
        <v>533</v>
      </c>
      <c r="I107" s="10" t="s">
        <v>45</v>
      </c>
      <c r="J107" s="8">
        <v>2</v>
      </c>
      <c r="K107" s="8">
        <v>246</v>
      </c>
      <c r="L107" s="24">
        <f>WorkmanshipResultsTable[[#This Row],[Number of Failed Units]]/WorkmanshipResultsTable[[#This Row],[Total Units Built]]</f>
        <v>8.130081300813009E-3</v>
      </c>
      <c r="M107" s="8"/>
      <c r="N107" s="8" t="s">
        <v>534</v>
      </c>
      <c r="O107" s="29" t="s">
        <v>47</v>
      </c>
      <c r="P107" s="7" t="s">
        <v>48</v>
      </c>
      <c r="Q107" s="7" t="s">
        <v>522</v>
      </c>
      <c r="R107" s="7"/>
      <c r="S107" s="7"/>
      <c r="T107" s="7"/>
      <c r="U107" s="7"/>
    </row>
    <row r="108" spans="1:21" ht="48" customHeight="1">
      <c r="A108" s="7" t="s">
        <v>81</v>
      </c>
      <c r="B108" s="30" t="s">
        <v>71</v>
      </c>
      <c r="C108" s="7" t="s">
        <v>40</v>
      </c>
      <c r="D108" s="7" t="s">
        <v>535</v>
      </c>
      <c r="E108" s="7" t="s">
        <v>536</v>
      </c>
      <c r="F108" s="7"/>
      <c r="G108" s="7" t="s">
        <v>537</v>
      </c>
      <c r="H108" s="7" t="s">
        <v>538</v>
      </c>
      <c r="I108" s="10" t="s">
        <v>45</v>
      </c>
      <c r="J108" s="8">
        <v>2</v>
      </c>
      <c r="K108" s="8">
        <v>368</v>
      </c>
      <c r="L108" s="24">
        <f>WorkmanshipResultsTable[[#This Row],[Number of Failed Units]]/WorkmanshipResultsTable[[#This Row],[Total Units Built]]</f>
        <v>5.434782608695652E-3</v>
      </c>
      <c r="M108" s="8"/>
      <c r="N108" s="8" t="s">
        <v>539</v>
      </c>
      <c r="O108" s="29" t="s">
        <v>47</v>
      </c>
      <c r="P108" s="7" t="s">
        <v>48</v>
      </c>
      <c r="Q108" s="7" t="s">
        <v>522</v>
      </c>
      <c r="R108" s="7"/>
      <c r="S108" s="7"/>
      <c r="T108" s="7"/>
      <c r="U108" s="7"/>
    </row>
    <row r="109" spans="1:21" ht="64" customHeight="1">
      <c r="A109" s="7" t="s">
        <v>182</v>
      </c>
      <c r="B109" s="30" t="s">
        <v>1273</v>
      </c>
      <c r="C109" s="7" t="s">
        <v>40</v>
      </c>
      <c r="D109" s="7" t="s">
        <v>540</v>
      </c>
      <c r="E109" s="7" t="s">
        <v>222</v>
      </c>
      <c r="F109" s="7"/>
      <c r="G109" s="16" t="s">
        <v>541</v>
      </c>
      <c r="H109" s="16" t="s">
        <v>542</v>
      </c>
      <c r="I109" s="10" t="s">
        <v>45</v>
      </c>
      <c r="J109" s="8">
        <v>11</v>
      </c>
      <c r="K109" s="8">
        <v>159</v>
      </c>
      <c r="L109" s="24">
        <f>WorkmanshipResultsTable[[#This Row],[Number of Failed Units]]/WorkmanshipResultsTable[[#This Row],[Total Units Built]]</f>
        <v>6.9182389937106917E-2</v>
      </c>
      <c r="M109" s="8"/>
      <c r="N109" s="8" t="s">
        <v>543</v>
      </c>
      <c r="O109" s="29" t="s">
        <v>47</v>
      </c>
      <c r="P109" s="7" t="s">
        <v>48</v>
      </c>
      <c r="Q109" s="7" t="s">
        <v>522</v>
      </c>
      <c r="R109" s="7"/>
      <c r="S109" s="7"/>
      <c r="T109" s="7"/>
      <c r="U109" s="7"/>
    </row>
    <row r="110" spans="1:21" ht="64" customHeight="1">
      <c r="A110" s="7" t="s">
        <v>182</v>
      </c>
      <c r="B110" s="30" t="s">
        <v>155</v>
      </c>
      <c r="C110" s="7" t="s">
        <v>40</v>
      </c>
      <c r="D110" s="7" t="s">
        <v>540</v>
      </c>
      <c r="E110" s="7" t="s">
        <v>222</v>
      </c>
      <c r="F110" s="7"/>
      <c r="G110" s="16" t="s">
        <v>544</v>
      </c>
      <c r="H110" s="16" t="s">
        <v>545</v>
      </c>
      <c r="I110" s="10" t="s">
        <v>45</v>
      </c>
      <c r="J110" s="8">
        <v>1</v>
      </c>
      <c r="K110" s="8">
        <v>159</v>
      </c>
      <c r="L110" s="24">
        <f>WorkmanshipResultsTable[[#This Row],[Number of Failed Units]]/WorkmanshipResultsTable[[#This Row],[Total Units Built]]</f>
        <v>6.2893081761006293E-3</v>
      </c>
      <c r="M110" s="8"/>
      <c r="N110" s="8" t="s">
        <v>543</v>
      </c>
      <c r="O110" s="29" t="s">
        <v>47</v>
      </c>
      <c r="P110" s="7" t="s">
        <v>48</v>
      </c>
      <c r="Q110" s="7" t="s">
        <v>522</v>
      </c>
      <c r="R110" s="7"/>
      <c r="S110" s="7"/>
      <c r="T110" s="7"/>
      <c r="U110" s="7"/>
    </row>
    <row r="111" spans="1:21" ht="64" customHeight="1">
      <c r="A111" s="7" t="s">
        <v>182</v>
      </c>
      <c r="B111" s="30" t="s">
        <v>1273</v>
      </c>
      <c r="C111" s="7" t="s">
        <v>40</v>
      </c>
      <c r="D111" s="7" t="s">
        <v>540</v>
      </c>
      <c r="E111" s="7" t="s">
        <v>222</v>
      </c>
      <c r="F111" s="7"/>
      <c r="G111" s="16" t="s">
        <v>546</v>
      </c>
      <c r="H111" s="16" t="s">
        <v>547</v>
      </c>
      <c r="I111" s="10" t="s">
        <v>45</v>
      </c>
      <c r="J111" s="8">
        <v>1</v>
      </c>
      <c r="K111" s="8">
        <v>159</v>
      </c>
      <c r="L111" s="24">
        <f>WorkmanshipResultsTable[[#This Row],[Number of Failed Units]]/WorkmanshipResultsTable[[#This Row],[Total Units Built]]</f>
        <v>6.2893081761006293E-3</v>
      </c>
      <c r="M111" s="8"/>
      <c r="N111" s="8" t="s">
        <v>543</v>
      </c>
      <c r="O111" s="29" t="s">
        <v>47</v>
      </c>
      <c r="P111" s="7" t="s">
        <v>48</v>
      </c>
      <c r="Q111" s="7" t="s">
        <v>522</v>
      </c>
      <c r="R111" s="7"/>
      <c r="S111" s="7"/>
      <c r="T111" s="7"/>
      <c r="U111" s="7"/>
    </row>
    <row r="112" spans="1:21" ht="64" customHeight="1">
      <c r="A112" s="7" t="s">
        <v>182</v>
      </c>
      <c r="B112" s="30" t="s">
        <v>155</v>
      </c>
      <c r="C112" s="7" t="s">
        <v>40</v>
      </c>
      <c r="D112" s="7" t="s">
        <v>540</v>
      </c>
      <c r="E112" s="7" t="s">
        <v>222</v>
      </c>
      <c r="F112" s="7"/>
      <c r="G112" s="7" t="s">
        <v>548</v>
      </c>
      <c r="H112" s="7" t="s">
        <v>549</v>
      </c>
      <c r="I112" s="10" t="s">
        <v>45</v>
      </c>
      <c r="J112" s="8">
        <v>14</v>
      </c>
      <c r="K112" s="8">
        <v>255</v>
      </c>
      <c r="L112" s="24">
        <f>WorkmanshipResultsTable[[#This Row],[Number of Failed Units]]/WorkmanshipResultsTable[[#This Row],[Total Units Built]]</f>
        <v>5.4901960784313725E-2</v>
      </c>
      <c r="M112" s="8"/>
      <c r="N112" s="8" t="s">
        <v>550</v>
      </c>
      <c r="O112" s="29" t="s">
        <v>47</v>
      </c>
      <c r="P112" s="7" t="s">
        <v>48</v>
      </c>
      <c r="Q112" s="7" t="s">
        <v>522</v>
      </c>
      <c r="R112" s="7"/>
      <c r="S112" s="7"/>
      <c r="T112" s="7"/>
      <c r="U112" s="7"/>
    </row>
    <row r="113" spans="1:21" ht="48" customHeight="1">
      <c r="A113" s="7" t="s">
        <v>81</v>
      </c>
      <c r="B113" s="30" t="s">
        <v>71</v>
      </c>
      <c r="C113" s="7" t="s">
        <v>40</v>
      </c>
      <c r="D113" s="7" t="s">
        <v>540</v>
      </c>
      <c r="E113" s="7" t="s">
        <v>222</v>
      </c>
      <c r="F113" s="7"/>
      <c r="G113" s="7" t="s">
        <v>551</v>
      </c>
      <c r="H113" s="7" t="s">
        <v>552</v>
      </c>
      <c r="I113" s="10" t="s">
        <v>45</v>
      </c>
      <c r="J113" s="8">
        <v>2</v>
      </c>
      <c r="K113" s="8">
        <v>255</v>
      </c>
      <c r="L113" s="24">
        <f>WorkmanshipResultsTable[[#This Row],[Number of Failed Units]]/WorkmanshipResultsTable[[#This Row],[Total Units Built]]</f>
        <v>7.8431372549019607E-3</v>
      </c>
      <c r="M113" s="8"/>
      <c r="N113" s="8" t="s">
        <v>550</v>
      </c>
      <c r="O113" s="29" t="s">
        <v>47</v>
      </c>
      <c r="P113" s="7" t="s">
        <v>48</v>
      </c>
      <c r="Q113" s="7" t="s">
        <v>522</v>
      </c>
      <c r="R113" s="7"/>
      <c r="S113" s="7"/>
      <c r="T113" s="7"/>
      <c r="U113" s="7"/>
    </row>
    <row r="114" spans="1:21" ht="32" customHeight="1">
      <c r="A114" s="7" t="s">
        <v>523</v>
      </c>
      <c r="B114" s="30" t="s">
        <v>71</v>
      </c>
      <c r="C114" s="7" t="s">
        <v>40</v>
      </c>
      <c r="D114" s="7" t="s">
        <v>540</v>
      </c>
      <c r="E114" s="7" t="s">
        <v>222</v>
      </c>
      <c r="F114" s="7"/>
      <c r="G114" s="7" t="s">
        <v>553</v>
      </c>
      <c r="H114" s="7" t="s">
        <v>554</v>
      </c>
      <c r="I114" s="10" t="s">
        <v>45</v>
      </c>
      <c r="J114" s="8">
        <v>3</v>
      </c>
      <c r="K114" s="8">
        <v>255</v>
      </c>
      <c r="L114" s="24">
        <f>WorkmanshipResultsTable[[#This Row],[Number of Failed Units]]/WorkmanshipResultsTable[[#This Row],[Total Units Built]]</f>
        <v>1.1764705882352941E-2</v>
      </c>
      <c r="M114" s="8"/>
      <c r="N114" s="8" t="s">
        <v>550</v>
      </c>
      <c r="O114" s="29" t="s">
        <v>47</v>
      </c>
      <c r="P114" s="7" t="s">
        <v>48</v>
      </c>
      <c r="Q114" s="7" t="s">
        <v>522</v>
      </c>
      <c r="R114" s="7"/>
      <c r="S114" s="7"/>
      <c r="T114" s="7"/>
      <c r="U114" s="7"/>
    </row>
    <row r="115" spans="1:21" ht="48" customHeight="1">
      <c r="A115" s="7" t="s">
        <v>81</v>
      </c>
      <c r="B115" s="30" t="s">
        <v>71</v>
      </c>
      <c r="C115" s="7" t="s">
        <v>40</v>
      </c>
      <c r="D115" s="7" t="s">
        <v>555</v>
      </c>
      <c r="E115" s="7" t="s">
        <v>463</v>
      </c>
      <c r="F115" s="7" t="s">
        <v>556</v>
      </c>
      <c r="G115" s="7" t="s">
        <v>557</v>
      </c>
      <c r="H115" s="7" t="s">
        <v>558</v>
      </c>
      <c r="I115" s="10" t="s">
        <v>559</v>
      </c>
      <c r="J115" s="8">
        <v>3</v>
      </c>
      <c r="K115" s="8">
        <v>200</v>
      </c>
      <c r="L115" s="24">
        <f>WorkmanshipResultsTable[[#This Row],[Number of Failed Units]]/WorkmanshipResultsTable[[#This Row],[Total Units Built]]</f>
        <v>1.4999999999999999E-2</v>
      </c>
      <c r="M115" s="8"/>
      <c r="N115" s="13">
        <v>45368</v>
      </c>
      <c r="O115" s="9"/>
      <c r="P115" s="7" t="s">
        <v>48</v>
      </c>
      <c r="Q115" s="7" t="s">
        <v>560</v>
      </c>
      <c r="R115" s="7"/>
      <c r="S115" s="7"/>
      <c r="T115" s="7"/>
      <c r="U115" s="7"/>
    </row>
    <row r="116" spans="1:21" ht="33" customHeight="1">
      <c r="A116" s="7" t="s">
        <v>182</v>
      </c>
      <c r="B116" s="30" t="s">
        <v>326</v>
      </c>
      <c r="C116" s="7" t="s">
        <v>40</v>
      </c>
      <c r="D116" s="7" t="s">
        <v>555</v>
      </c>
      <c r="E116" s="7" t="s">
        <v>463</v>
      </c>
      <c r="F116" s="7" t="s">
        <v>561</v>
      </c>
      <c r="G116" s="7" t="s">
        <v>562</v>
      </c>
      <c r="H116" s="7" t="s">
        <v>563</v>
      </c>
      <c r="I116" s="10" t="s">
        <v>559</v>
      </c>
      <c r="J116" s="8">
        <v>1</v>
      </c>
      <c r="K116" s="8">
        <v>200</v>
      </c>
      <c r="L116" s="24">
        <f>WorkmanshipResultsTable[[#This Row],[Number of Failed Units]]/WorkmanshipResultsTable[[#This Row],[Total Units Built]]</f>
        <v>5.0000000000000001E-3</v>
      </c>
      <c r="M116" s="8"/>
      <c r="N116" s="13">
        <v>45368</v>
      </c>
      <c r="O116" s="9"/>
      <c r="P116" s="7" t="s">
        <v>48</v>
      </c>
      <c r="Q116" s="7" t="s">
        <v>560</v>
      </c>
      <c r="R116" s="7"/>
      <c r="S116" s="7"/>
      <c r="T116" s="7"/>
      <c r="U116" s="7"/>
    </row>
    <row r="117" spans="1:21" ht="64" customHeight="1">
      <c r="A117" s="7" t="s">
        <v>81</v>
      </c>
      <c r="B117" s="30" t="s">
        <v>22</v>
      </c>
      <c r="C117" s="7" t="s">
        <v>40</v>
      </c>
      <c r="D117" s="7" t="s">
        <v>555</v>
      </c>
      <c r="E117" s="7" t="s">
        <v>463</v>
      </c>
      <c r="F117" s="7" t="s">
        <v>564</v>
      </c>
      <c r="G117" s="7" t="s">
        <v>565</v>
      </c>
      <c r="H117" s="7"/>
      <c r="I117" s="10" t="s">
        <v>559</v>
      </c>
      <c r="J117" s="8">
        <v>2</v>
      </c>
      <c r="K117" s="8">
        <v>239</v>
      </c>
      <c r="L117" s="24">
        <f>WorkmanshipResultsTable[[#This Row],[Number of Failed Units]]/WorkmanshipResultsTable[[#This Row],[Total Units Built]]</f>
        <v>8.368200836820083E-3</v>
      </c>
      <c r="M117" s="8"/>
      <c r="N117" s="13">
        <v>45375</v>
      </c>
      <c r="O117" s="9"/>
      <c r="P117" s="7" t="s">
        <v>48</v>
      </c>
      <c r="Q117" s="7" t="s">
        <v>560</v>
      </c>
      <c r="R117" s="7"/>
      <c r="S117" s="7"/>
      <c r="T117" s="7"/>
      <c r="U117" s="7"/>
    </row>
    <row r="118" spans="1:21" ht="48" customHeight="1">
      <c r="A118" s="7" t="s">
        <v>402</v>
      </c>
      <c r="B118" s="30" t="s">
        <v>208</v>
      </c>
      <c r="C118" s="7" t="s">
        <v>40</v>
      </c>
      <c r="D118" s="7" t="s">
        <v>555</v>
      </c>
      <c r="E118" s="7" t="s">
        <v>463</v>
      </c>
      <c r="F118" s="7" t="s">
        <v>566</v>
      </c>
      <c r="G118" s="7" t="s">
        <v>567</v>
      </c>
      <c r="H118" s="7"/>
      <c r="I118" s="10" t="s">
        <v>559</v>
      </c>
      <c r="J118" s="8">
        <v>3</v>
      </c>
      <c r="K118" s="8">
        <v>241</v>
      </c>
      <c r="L118" s="24">
        <f>WorkmanshipResultsTable[[#This Row],[Number of Failed Units]]/WorkmanshipResultsTable[[#This Row],[Total Units Built]]</f>
        <v>1.2448132780082987E-2</v>
      </c>
      <c r="M118" s="8"/>
      <c r="N118" s="13">
        <v>45389</v>
      </c>
      <c r="O118" s="9"/>
      <c r="P118" s="7" t="s">
        <v>48</v>
      </c>
      <c r="Q118" s="7" t="s">
        <v>560</v>
      </c>
      <c r="R118" s="7"/>
      <c r="S118" s="7"/>
      <c r="T118" s="7"/>
      <c r="U118" s="7"/>
    </row>
    <row r="119" spans="1:21" ht="48" customHeight="1">
      <c r="A119" s="7" t="s">
        <v>81</v>
      </c>
      <c r="B119" s="30" t="s">
        <v>71</v>
      </c>
      <c r="C119" s="7" t="s">
        <v>40</v>
      </c>
      <c r="D119" s="7" t="s">
        <v>555</v>
      </c>
      <c r="E119" s="7" t="s">
        <v>463</v>
      </c>
      <c r="F119" s="7" t="s">
        <v>568</v>
      </c>
      <c r="G119" s="7" t="s">
        <v>569</v>
      </c>
      <c r="H119" s="7"/>
      <c r="I119" s="10" t="s">
        <v>559</v>
      </c>
      <c r="J119" s="8">
        <v>3</v>
      </c>
      <c r="K119" s="8">
        <v>241</v>
      </c>
      <c r="L119" s="24">
        <f>WorkmanshipResultsTable[[#This Row],[Number of Failed Units]]/WorkmanshipResultsTable[[#This Row],[Total Units Built]]</f>
        <v>1.2448132780082987E-2</v>
      </c>
      <c r="M119" s="8"/>
      <c r="N119" s="13">
        <v>45396</v>
      </c>
      <c r="O119" s="9"/>
      <c r="P119" s="7" t="s">
        <v>48</v>
      </c>
      <c r="Q119" s="7" t="s">
        <v>560</v>
      </c>
      <c r="R119" s="7"/>
      <c r="S119" s="7"/>
      <c r="T119" s="7"/>
      <c r="U119" s="7"/>
    </row>
    <row r="120" spans="1:21" ht="32" customHeight="1">
      <c r="A120" s="7" t="s">
        <v>402</v>
      </c>
      <c r="B120" s="30" t="s">
        <v>208</v>
      </c>
      <c r="C120" s="7" t="s">
        <v>40</v>
      </c>
      <c r="D120" s="7" t="s">
        <v>555</v>
      </c>
      <c r="E120" s="7" t="s">
        <v>463</v>
      </c>
      <c r="F120" s="7" t="s">
        <v>570</v>
      </c>
      <c r="G120" s="7" t="s">
        <v>571</v>
      </c>
      <c r="H120" s="7"/>
      <c r="I120" s="10" t="s">
        <v>559</v>
      </c>
      <c r="J120" s="8">
        <v>2</v>
      </c>
      <c r="K120" s="8">
        <v>241</v>
      </c>
      <c r="L120" s="24">
        <f>WorkmanshipResultsTable[[#This Row],[Number of Failed Units]]/WorkmanshipResultsTable[[#This Row],[Total Units Built]]</f>
        <v>8.2987551867219917E-3</v>
      </c>
      <c r="M120" s="8"/>
      <c r="N120" s="13">
        <v>45396</v>
      </c>
      <c r="O120" s="9"/>
      <c r="P120" s="7" t="s">
        <v>48</v>
      </c>
      <c r="Q120" s="7" t="s">
        <v>560</v>
      </c>
      <c r="R120" s="7"/>
      <c r="S120" s="7"/>
      <c r="T120" s="7"/>
      <c r="U120" s="7"/>
    </row>
    <row r="121" spans="1:21" ht="32" customHeight="1">
      <c r="A121" s="7" t="s">
        <v>81</v>
      </c>
      <c r="B121" s="30" t="s">
        <v>71</v>
      </c>
      <c r="C121" s="7" t="s">
        <v>40</v>
      </c>
      <c r="D121" s="20" t="s">
        <v>555</v>
      </c>
      <c r="E121" s="7" t="s">
        <v>463</v>
      </c>
      <c r="F121" s="7" t="s">
        <v>572</v>
      </c>
      <c r="G121" s="7" t="s">
        <v>573</v>
      </c>
      <c r="H121" s="7" t="s">
        <v>574</v>
      </c>
      <c r="I121" s="10" t="s">
        <v>559</v>
      </c>
      <c r="J121" s="8">
        <v>1</v>
      </c>
      <c r="K121" s="8">
        <v>241</v>
      </c>
      <c r="L121" s="24">
        <f>WorkmanshipResultsTable[[#This Row],[Number of Failed Units]]/WorkmanshipResultsTable[[#This Row],[Total Units Built]]</f>
        <v>4.1493775933609959E-3</v>
      </c>
      <c r="M121" s="8"/>
      <c r="N121" s="13">
        <v>45403</v>
      </c>
      <c r="O121" s="9"/>
      <c r="P121" s="7" t="s">
        <v>48</v>
      </c>
      <c r="Q121" s="7" t="s">
        <v>560</v>
      </c>
      <c r="R121" s="7"/>
      <c r="S121" s="7"/>
      <c r="T121" s="7"/>
      <c r="U121" s="7"/>
    </row>
    <row r="122" spans="1:21" ht="48" customHeight="1">
      <c r="A122" s="7" t="s">
        <v>81</v>
      </c>
      <c r="B122" s="30" t="s">
        <v>71</v>
      </c>
      <c r="C122" s="7" t="s">
        <v>40</v>
      </c>
      <c r="D122" s="7" t="s">
        <v>555</v>
      </c>
      <c r="E122" s="7" t="s">
        <v>463</v>
      </c>
      <c r="F122" s="7" t="s">
        <v>575</v>
      </c>
      <c r="G122" s="7" t="s">
        <v>576</v>
      </c>
      <c r="H122" s="7" t="s">
        <v>577</v>
      </c>
      <c r="I122" s="10" t="s">
        <v>559</v>
      </c>
      <c r="J122" s="8">
        <v>3</v>
      </c>
      <c r="K122" s="8">
        <v>120</v>
      </c>
      <c r="L122" s="24">
        <f>WorkmanshipResultsTable[[#This Row],[Number of Failed Units]]/WorkmanshipResultsTable[[#This Row],[Total Units Built]]</f>
        <v>2.5000000000000001E-2</v>
      </c>
      <c r="M122" s="8"/>
      <c r="N122" s="13">
        <v>45403</v>
      </c>
      <c r="O122" s="9"/>
      <c r="P122" s="7" t="s">
        <v>48</v>
      </c>
      <c r="Q122" s="7" t="s">
        <v>560</v>
      </c>
      <c r="R122" s="7"/>
      <c r="S122" s="7"/>
      <c r="T122" s="7"/>
      <c r="U122" s="7"/>
    </row>
    <row r="123" spans="1:21" ht="48" customHeight="1">
      <c r="A123" s="7" t="s">
        <v>402</v>
      </c>
      <c r="B123" s="30" t="s">
        <v>208</v>
      </c>
      <c r="C123" s="7" t="s">
        <v>40</v>
      </c>
      <c r="D123" s="20" t="s">
        <v>555</v>
      </c>
      <c r="E123" s="7" t="s">
        <v>463</v>
      </c>
      <c r="F123" s="7" t="s">
        <v>578</v>
      </c>
      <c r="G123" s="7" t="s">
        <v>579</v>
      </c>
      <c r="H123" s="7"/>
      <c r="I123" s="10" t="s">
        <v>559</v>
      </c>
      <c r="J123" s="8">
        <v>1</v>
      </c>
      <c r="K123" s="8">
        <v>153</v>
      </c>
      <c r="L123" s="24">
        <f>WorkmanshipResultsTable[[#This Row],[Number of Failed Units]]/WorkmanshipResultsTable[[#This Row],[Total Units Built]]</f>
        <v>6.5359477124183009E-3</v>
      </c>
      <c r="M123" s="8"/>
      <c r="N123" s="13">
        <v>45410</v>
      </c>
      <c r="O123" s="9"/>
      <c r="P123" s="7" t="s">
        <v>48</v>
      </c>
      <c r="Q123" s="7" t="s">
        <v>560</v>
      </c>
      <c r="R123" s="7"/>
      <c r="S123" s="7"/>
      <c r="T123" s="7"/>
      <c r="U123" s="7"/>
    </row>
    <row r="124" spans="1:21" ht="64" customHeight="1">
      <c r="A124" s="7" t="s">
        <v>580</v>
      </c>
      <c r="B124" s="30" t="s">
        <v>71</v>
      </c>
      <c r="C124" s="7" t="s">
        <v>40</v>
      </c>
      <c r="D124" s="20" t="s">
        <v>555</v>
      </c>
      <c r="E124" s="7" t="s">
        <v>463</v>
      </c>
      <c r="F124" s="7" t="s">
        <v>581</v>
      </c>
      <c r="G124" s="7" t="s">
        <v>582</v>
      </c>
      <c r="H124" s="7"/>
      <c r="I124" s="10" t="s">
        <v>559</v>
      </c>
      <c r="J124" s="8">
        <v>4</v>
      </c>
      <c r="K124" s="8">
        <v>153</v>
      </c>
      <c r="L124" s="24">
        <f>WorkmanshipResultsTable[[#This Row],[Number of Failed Units]]/WorkmanshipResultsTable[[#This Row],[Total Units Built]]</f>
        <v>2.6143790849673203E-2</v>
      </c>
      <c r="M124" s="8"/>
      <c r="N124" s="13">
        <v>45410</v>
      </c>
      <c r="O124" s="9"/>
      <c r="P124" s="7" t="s">
        <v>48</v>
      </c>
      <c r="Q124" s="7" t="s">
        <v>560</v>
      </c>
      <c r="R124" s="7"/>
      <c r="S124" s="7"/>
      <c r="T124" s="7"/>
      <c r="U124" s="7"/>
    </row>
    <row r="125" spans="1:21" ht="64" customHeight="1">
      <c r="A125" s="7" t="s">
        <v>81</v>
      </c>
      <c r="B125" s="30" t="s">
        <v>71</v>
      </c>
      <c r="C125" s="7" t="s">
        <v>40</v>
      </c>
      <c r="D125" s="7" t="s">
        <v>555</v>
      </c>
      <c r="E125" s="7" t="s">
        <v>463</v>
      </c>
      <c r="F125" s="7" t="s">
        <v>583</v>
      </c>
      <c r="G125" s="7" t="s">
        <v>584</v>
      </c>
      <c r="H125" s="7"/>
      <c r="I125" s="10" t="s">
        <v>559</v>
      </c>
      <c r="J125" s="8">
        <v>1</v>
      </c>
      <c r="K125" s="8">
        <v>377</v>
      </c>
      <c r="L125" s="24">
        <f>WorkmanshipResultsTable[[#This Row],[Number of Failed Units]]/WorkmanshipResultsTable[[#This Row],[Total Units Built]]</f>
        <v>2.6525198938992041E-3</v>
      </c>
      <c r="M125" s="8"/>
      <c r="N125" s="13">
        <v>45417</v>
      </c>
      <c r="O125" s="9"/>
      <c r="P125" s="7" t="s">
        <v>48</v>
      </c>
      <c r="Q125" s="7" t="s">
        <v>560</v>
      </c>
      <c r="R125" s="7"/>
      <c r="S125" s="7"/>
      <c r="T125" s="7"/>
      <c r="U125" s="7"/>
    </row>
    <row r="126" spans="1:21" ht="30" customHeight="1">
      <c r="A126" s="7" t="s">
        <v>81</v>
      </c>
      <c r="B126" s="30" t="s">
        <v>208</v>
      </c>
      <c r="C126" s="7" t="s">
        <v>40</v>
      </c>
      <c r="D126" s="7" t="s">
        <v>555</v>
      </c>
      <c r="E126" s="7" t="s">
        <v>463</v>
      </c>
      <c r="F126" s="7" t="s">
        <v>585</v>
      </c>
      <c r="G126" s="7" t="s">
        <v>586</v>
      </c>
      <c r="H126" s="7"/>
      <c r="I126" s="10" t="s">
        <v>559</v>
      </c>
      <c r="J126" s="8">
        <v>1</v>
      </c>
      <c r="K126" s="8">
        <v>377</v>
      </c>
      <c r="L126" s="24">
        <f>WorkmanshipResultsTable[[#This Row],[Number of Failed Units]]/WorkmanshipResultsTable[[#This Row],[Total Units Built]]</f>
        <v>2.6525198938992041E-3</v>
      </c>
      <c r="M126" s="8"/>
      <c r="N126" s="13">
        <v>45417</v>
      </c>
      <c r="O126" s="9"/>
      <c r="P126" s="7" t="s">
        <v>48</v>
      </c>
      <c r="Q126" s="7" t="s">
        <v>560</v>
      </c>
      <c r="R126" s="7"/>
      <c r="S126" s="7"/>
      <c r="T126" s="7"/>
      <c r="U126" s="7"/>
    </row>
    <row r="127" spans="1:21" ht="49.5" customHeight="1">
      <c r="A127" s="7" t="s">
        <v>376</v>
      </c>
      <c r="B127" s="30" t="s">
        <v>71</v>
      </c>
      <c r="C127" s="7" t="s">
        <v>40</v>
      </c>
      <c r="D127" s="7" t="s">
        <v>555</v>
      </c>
      <c r="E127" s="7" t="s">
        <v>463</v>
      </c>
      <c r="F127" s="7" t="s">
        <v>587</v>
      </c>
      <c r="G127" s="7" t="s">
        <v>588</v>
      </c>
      <c r="H127" s="7"/>
      <c r="I127" s="10" t="s">
        <v>559</v>
      </c>
      <c r="J127" s="8">
        <v>5</v>
      </c>
      <c r="K127" s="8">
        <v>377</v>
      </c>
      <c r="L127" s="24">
        <f>WorkmanshipResultsTable[[#This Row],[Number of Failed Units]]/WorkmanshipResultsTable[[#This Row],[Total Units Built]]</f>
        <v>1.3262599469496022E-2</v>
      </c>
      <c r="M127" s="8"/>
      <c r="N127" s="13">
        <v>45417</v>
      </c>
      <c r="O127" s="9"/>
      <c r="P127" s="7" t="s">
        <v>48</v>
      </c>
      <c r="Q127" s="7" t="s">
        <v>560</v>
      </c>
      <c r="R127" s="7"/>
      <c r="S127" s="7"/>
      <c r="T127" s="7"/>
      <c r="U127" s="7"/>
    </row>
    <row r="128" spans="1:21" ht="29.25" customHeight="1">
      <c r="A128" s="7" t="s">
        <v>81</v>
      </c>
      <c r="B128" s="30" t="s">
        <v>71</v>
      </c>
      <c r="C128" s="7" t="s">
        <v>40</v>
      </c>
      <c r="D128" s="7" t="s">
        <v>555</v>
      </c>
      <c r="E128" s="7" t="s">
        <v>463</v>
      </c>
      <c r="F128" s="7" t="s">
        <v>589</v>
      </c>
      <c r="G128" s="7" t="s">
        <v>590</v>
      </c>
      <c r="H128" s="7" t="s">
        <v>591</v>
      </c>
      <c r="I128" s="10" t="s">
        <v>559</v>
      </c>
      <c r="J128" s="8">
        <v>1</v>
      </c>
      <c r="K128" s="8">
        <v>106</v>
      </c>
      <c r="L128" s="24">
        <f>WorkmanshipResultsTable[[#This Row],[Number of Failed Units]]/WorkmanshipResultsTable[[#This Row],[Total Units Built]]</f>
        <v>9.433962264150943E-3</v>
      </c>
      <c r="M128" s="8"/>
      <c r="N128" s="13">
        <v>45424</v>
      </c>
      <c r="O128" s="9"/>
      <c r="P128" s="7" t="s">
        <v>48</v>
      </c>
      <c r="Q128" s="7" t="s">
        <v>560</v>
      </c>
      <c r="R128" s="7"/>
      <c r="S128" s="7"/>
      <c r="T128" s="7"/>
      <c r="U128" s="7"/>
    </row>
    <row r="129" spans="1:21" ht="32" customHeight="1">
      <c r="A129" s="7" t="s">
        <v>376</v>
      </c>
      <c r="B129" s="30" t="s">
        <v>71</v>
      </c>
      <c r="C129" s="7" t="s">
        <v>40</v>
      </c>
      <c r="D129" s="7" t="s">
        <v>555</v>
      </c>
      <c r="E129" s="7" t="s">
        <v>463</v>
      </c>
      <c r="F129" s="7" t="s">
        <v>592</v>
      </c>
      <c r="G129" s="7" t="s">
        <v>593</v>
      </c>
      <c r="H129" s="7" t="s">
        <v>594</v>
      </c>
      <c r="I129" s="10" t="s">
        <v>559</v>
      </c>
      <c r="J129" s="8">
        <v>1</v>
      </c>
      <c r="K129" s="8">
        <v>106</v>
      </c>
      <c r="L129" s="24">
        <f>WorkmanshipResultsTable[[#This Row],[Number of Failed Units]]/WorkmanshipResultsTable[[#This Row],[Total Units Built]]</f>
        <v>9.433962264150943E-3</v>
      </c>
      <c r="M129" s="8"/>
      <c r="N129" s="13">
        <v>45424</v>
      </c>
      <c r="O129" s="9"/>
      <c r="P129" s="7" t="s">
        <v>48</v>
      </c>
      <c r="Q129" s="7" t="s">
        <v>560</v>
      </c>
      <c r="R129" s="7"/>
      <c r="S129" s="7"/>
      <c r="T129" s="7"/>
      <c r="U129" s="7"/>
    </row>
    <row r="130" spans="1:21" ht="34.5" customHeight="1">
      <c r="A130" s="7" t="s">
        <v>81</v>
      </c>
      <c r="B130" s="30" t="s">
        <v>71</v>
      </c>
      <c r="C130" s="7" t="s">
        <v>40</v>
      </c>
      <c r="D130" s="7" t="s">
        <v>555</v>
      </c>
      <c r="E130" s="7" t="s">
        <v>463</v>
      </c>
      <c r="F130" s="7" t="s">
        <v>595</v>
      </c>
      <c r="G130" s="7" t="s">
        <v>596</v>
      </c>
      <c r="H130" s="7" t="s">
        <v>597</v>
      </c>
      <c r="I130" s="10" t="s">
        <v>559</v>
      </c>
      <c r="J130" s="8">
        <v>2</v>
      </c>
      <c r="K130" s="8">
        <v>188</v>
      </c>
      <c r="L130" s="24">
        <f>WorkmanshipResultsTable[[#This Row],[Number of Failed Units]]/WorkmanshipResultsTable[[#This Row],[Total Units Built]]</f>
        <v>1.0638297872340425E-2</v>
      </c>
      <c r="M130" s="8"/>
      <c r="N130" s="13">
        <v>45431</v>
      </c>
      <c r="O130" s="9"/>
      <c r="P130" s="7" t="s">
        <v>48</v>
      </c>
      <c r="Q130" s="7" t="s">
        <v>560</v>
      </c>
      <c r="R130" s="7"/>
      <c r="S130" s="7"/>
      <c r="T130" s="7"/>
      <c r="U130" s="7"/>
    </row>
    <row r="131" spans="1:21" ht="27" customHeight="1">
      <c r="A131" s="7" t="s">
        <v>580</v>
      </c>
      <c r="B131" s="30" t="s">
        <v>71</v>
      </c>
      <c r="C131" s="7" t="s">
        <v>40</v>
      </c>
      <c r="D131" s="7" t="s">
        <v>555</v>
      </c>
      <c r="E131" s="7" t="s">
        <v>463</v>
      </c>
      <c r="F131" s="7" t="s">
        <v>598</v>
      </c>
      <c r="G131" s="7" t="s">
        <v>599</v>
      </c>
      <c r="H131" s="7"/>
      <c r="I131" s="10" t="s">
        <v>559</v>
      </c>
      <c r="J131" s="8">
        <v>2</v>
      </c>
      <c r="K131" s="8">
        <v>188</v>
      </c>
      <c r="L131" s="24">
        <f>WorkmanshipResultsTable[[#This Row],[Number of Failed Units]]/WorkmanshipResultsTable[[#This Row],[Total Units Built]]</f>
        <v>1.0638297872340425E-2</v>
      </c>
      <c r="M131" s="8"/>
      <c r="N131" s="13">
        <v>45431</v>
      </c>
      <c r="O131" s="9"/>
      <c r="P131" s="7" t="s">
        <v>48</v>
      </c>
      <c r="Q131" s="7" t="s">
        <v>560</v>
      </c>
      <c r="R131" s="7"/>
      <c r="S131" s="7"/>
      <c r="T131" s="7"/>
      <c r="U131" s="7"/>
    </row>
    <row r="132" spans="1:21" ht="16" customHeight="1">
      <c r="A132" s="7" t="s">
        <v>81</v>
      </c>
      <c r="B132" s="30" t="s">
        <v>71</v>
      </c>
      <c r="C132" s="7" t="s">
        <v>40</v>
      </c>
      <c r="D132" s="7" t="s">
        <v>555</v>
      </c>
      <c r="E132" s="7" t="s">
        <v>463</v>
      </c>
      <c r="F132" s="7" t="s">
        <v>600</v>
      </c>
      <c r="G132" s="7" t="s">
        <v>601</v>
      </c>
      <c r="H132" s="7" t="s">
        <v>602</v>
      </c>
      <c r="I132" s="10" t="s">
        <v>559</v>
      </c>
      <c r="J132" s="8">
        <v>1</v>
      </c>
      <c r="K132" s="8">
        <v>188</v>
      </c>
      <c r="L132" s="24">
        <f>WorkmanshipResultsTable[[#This Row],[Number of Failed Units]]/WorkmanshipResultsTable[[#This Row],[Total Units Built]]</f>
        <v>5.3191489361702126E-3</v>
      </c>
      <c r="M132" s="8"/>
      <c r="N132" s="13">
        <v>45431</v>
      </c>
      <c r="O132" s="9"/>
      <c r="P132" s="7" t="s">
        <v>48</v>
      </c>
      <c r="Q132" s="7" t="s">
        <v>560</v>
      </c>
      <c r="R132" s="7"/>
      <c r="S132" s="7"/>
      <c r="T132" s="7"/>
      <c r="U132" s="7"/>
    </row>
    <row r="133" spans="1:21" ht="48" customHeight="1">
      <c r="A133" s="7" t="s">
        <v>376</v>
      </c>
      <c r="B133" s="30" t="s">
        <v>71</v>
      </c>
      <c r="C133" s="7" t="s">
        <v>40</v>
      </c>
      <c r="D133" s="7" t="s">
        <v>555</v>
      </c>
      <c r="E133" s="7" t="s">
        <v>463</v>
      </c>
      <c r="F133" s="7" t="s">
        <v>603</v>
      </c>
      <c r="G133" s="7" t="s">
        <v>604</v>
      </c>
      <c r="H133" s="7"/>
      <c r="I133" s="10" t="s">
        <v>559</v>
      </c>
      <c r="J133" s="8">
        <v>3</v>
      </c>
      <c r="K133" s="8">
        <v>53</v>
      </c>
      <c r="L133" s="24">
        <f>WorkmanshipResultsTable[[#This Row],[Number of Failed Units]]/WorkmanshipResultsTable[[#This Row],[Total Units Built]]</f>
        <v>5.6603773584905662E-2</v>
      </c>
      <c r="M133" s="8"/>
      <c r="N133" s="13">
        <v>45438</v>
      </c>
      <c r="O133" s="9"/>
      <c r="P133" s="7" t="s">
        <v>48</v>
      </c>
      <c r="Q133" s="7" t="s">
        <v>560</v>
      </c>
      <c r="R133" s="7"/>
      <c r="S133" s="7"/>
      <c r="T133" s="7"/>
      <c r="U133" s="7"/>
    </row>
    <row r="134" spans="1:21" ht="48" customHeight="1">
      <c r="A134" s="7" t="s">
        <v>81</v>
      </c>
      <c r="B134" s="30" t="s">
        <v>71</v>
      </c>
      <c r="C134" s="7" t="s">
        <v>40</v>
      </c>
      <c r="D134" s="7" t="s">
        <v>555</v>
      </c>
      <c r="E134" s="7" t="s">
        <v>463</v>
      </c>
      <c r="F134" s="7" t="s">
        <v>605</v>
      </c>
      <c r="G134" s="7" t="s">
        <v>606</v>
      </c>
      <c r="H134" s="7" t="s">
        <v>607</v>
      </c>
      <c r="I134" s="10" t="s">
        <v>559</v>
      </c>
      <c r="J134" s="8">
        <v>2</v>
      </c>
      <c r="K134" s="8">
        <v>53</v>
      </c>
      <c r="L134" s="24">
        <f>WorkmanshipResultsTable[[#This Row],[Number of Failed Units]]/WorkmanshipResultsTable[[#This Row],[Total Units Built]]</f>
        <v>3.7735849056603772E-2</v>
      </c>
      <c r="M134" s="8"/>
      <c r="N134" s="13">
        <v>45445</v>
      </c>
      <c r="O134" s="9"/>
      <c r="P134" s="7" t="s">
        <v>48</v>
      </c>
      <c r="Q134" s="7" t="s">
        <v>560</v>
      </c>
      <c r="R134" s="7"/>
      <c r="S134" s="7"/>
      <c r="T134" s="7"/>
      <c r="U134" s="7"/>
    </row>
    <row r="135" spans="1:21" ht="32" customHeight="1">
      <c r="A135" s="7" t="s">
        <v>81</v>
      </c>
      <c r="B135" s="30" t="s">
        <v>71</v>
      </c>
      <c r="C135" s="7" t="s">
        <v>40</v>
      </c>
      <c r="D135" s="7" t="s">
        <v>555</v>
      </c>
      <c r="E135" s="7" t="s">
        <v>463</v>
      </c>
      <c r="F135" s="7" t="s">
        <v>608</v>
      </c>
      <c r="G135" s="7" t="s">
        <v>609</v>
      </c>
      <c r="H135" s="7"/>
      <c r="I135" s="10" t="s">
        <v>559</v>
      </c>
      <c r="J135" s="8">
        <v>1</v>
      </c>
      <c r="K135" s="8">
        <v>85</v>
      </c>
      <c r="L135" s="24">
        <f>WorkmanshipResultsTable[[#This Row],[Number of Failed Units]]/WorkmanshipResultsTable[[#This Row],[Total Units Built]]</f>
        <v>1.1764705882352941E-2</v>
      </c>
      <c r="M135" s="8"/>
      <c r="N135" s="13">
        <v>45452</v>
      </c>
      <c r="O135" s="9"/>
      <c r="P135" s="7" t="s">
        <v>48</v>
      </c>
      <c r="Q135" s="7" t="s">
        <v>560</v>
      </c>
      <c r="R135" s="7"/>
      <c r="S135" s="7"/>
      <c r="T135" s="7"/>
      <c r="U135" s="7"/>
    </row>
    <row r="136" spans="1:21" ht="32" customHeight="1">
      <c r="A136" s="7" t="s">
        <v>81</v>
      </c>
      <c r="B136" s="30" t="s">
        <v>71</v>
      </c>
      <c r="C136" s="7" t="s">
        <v>40</v>
      </c>
      <c r="D136" s="7" t="s">
        <v>555</v>
      </c>
      <c r="E136" s="7" t="s">
        <v>463</v>
      </c>
      <c r="F136" s="7" t="s">
        <v>610</v>
      </c>
      <c r="G136" s="7" t="s">
        <v>611</v>
      </c>
      <c r="H136" s="7" t="s">
        <v>612</v>
      </c>
      <c r="I136" s="10" t="s">
        <v>559</v>
      </c>
      <c r="J136" s="8">
        <v>1</v>
      </c>
      <c r="K136" s="8">
        <v>124</v>
      </c>
      <c r="L136" s="24">
        <f>WorkmanshipResultsTable[[#This Row],[Number of Failed Units]]/WorkmanshipResultsTable[[#This Row],[Total Units Built]]</f>
        <v>8.0645161290322578E-3</v>
      </c>
      <c r="M136" s="8"/>
      <c r="N136" s="13">
        <v>45473</v>
      </c>
      <c r="O136" s="9"/>
      <c r="P136" s="7" t="s">
        <v>48</v>
      </c>
      <c r="Q136" s="7" t="s">
        <v>560</v>
      </c>
      <c r="R136" s="7"/>
      <c r="S136" s="7"/>
      <c r="T136" s="7"/>
      <c r="U136" s="7"/>
    </row>
    <row r="137" spans="1:21" ht="48" customHeight="1">
      <c r="A137" s="7" t="s">
        <v>376</v>
      </c>
      <c r="B137" s="30" t="s">
        <v>71</v>
      </c>
      <c r="C137" s="7" t="s">
        <v>40</v>
      </c>
      <c r="D137" s="7" t="s">
        <v>555</v>
      </c>
      <c r="E137" s="7" t="s">
        <v>463</v>
      </c>
      <c r="F137" s="7" t="s">
        <v>613</v>
      </c>
      <c r="G137" s="7" t="s">
        <v>614</v>
      </c>
      <c r="H137" s="7" t="s">
        <v>615</v>
      </c>
      <c r="I137" s="10" t="s">
        <v>559</v>
      </c>
      <c r="J137" s="8">
        <v>1</v>
      </c>
      <c r="K137" s="8">
        <v>124</v>
      </c>
      <c r="L137" s="24">
        <f>WorkmanshipResultsTable[[#This Row],[Number of Failed Units]]/WorkmanshipResultsTable[[#This Row],[Total Units Built]]</f>
        <v>8.0645161290322578E-3</v>
      </c>
      <c r="M137" s="8"/>
      <c r="N137" s="13">
        <v>45480</v>
      </c>
      <c r="O137" s="9"/>
      <c r="P137" s="7" t="s">
        <v>48</v>
      </c>
      <c r="Q137" s="7" t="s">
        <v>560</v>
      </c>
      <c r="R137" s="7"/>
      <c r="S137" s="7"/>
      <c r="T137" s="7"/>
      <c r="U137" s="7"/>
    </row>
    <row r="138" spans="1:21" ht="48" customHeight="1">
      <c r="A138" s="7" t="s">
        <v>376</v>
      </c>
      <c r="B138" s="30" t="s">
        <v>71</v>
      </c>
      <c r="C138" s="7" t="s">
        <v>40</v>
      </c>
      <c r="D138" s="7" t="s">
        <v>555</v>
      </c>
      <c r="E138" s="7" t="s">
        <v>463</v>
      </c>
      <c r="F138" s="7" t="s">
        <v>616</v>
      </c>
      <c r="G138" s="7" t="s">
        <v>617</v>
      </c>
      <c r="H138" s="7" t="s">
        <v>618</v>
      </c>
      <c r="I138" s="10" t="s">
        <v>559</v>
      </c>
      <c r="J138" s="8">
        <v>2</v>
      </c>
      <c r="K138" s="8">
        <v>11</v>
      </c>
      <c r="L138" s="24">
        <f>WorkmanshipResultsTable[[#This Row],[Number of Failed Units]]/WorkmanshipResultsTable[[#This Row],[Total Units Built]]</f>
        <v>0.18181818181818182</v>
      </c>
      <c r="M138" s="8"/>
      <c r="N138" s="13">
        <v>45494</v>
      </c>
      <c r="O138" s="9"/>
      <c r="P138" s="7" t="s">
        <v>48</v>
      </c>
      <c r="Q138" s="7" t="s">
        <v>560</v>
      </c>
      <c r="R138" s="7"/>
      <c r="S138" s="7"/>
      <c r="T138" s="7"/>
      <c r="U138" s="7"/>
    </row>
    <row r="139" spans="1:21" ht="32" customHeight="1">
      <c r="A139" s="7" t="s">
        <v>81</v>
      </c>
      <c r="B139" s="30" t="s">
        <v>71</v>
      </c>
      <c r="C139" s="7" t="s">
        <v>40</v>
      </c>
      <c r="D139" s="7" t="s">
        <v>555</v>
      </c>
      <c r="E139" s="7" t="s">
        <v>463</v>
      </c>
      <c r="F139" s="7" t="s">
        <v>619</v>
      </c>
      <c r="G139" s="7" t="s">
        <v>620</v>
      </c>
      <c r="H139" s="7" t="s">
        <v>621</v>
      </c>
      <c r="I139" s="10" t="s">
        <v>559</v>
      </c>
      <c r="J139" s="8">
        <v>1</v>
      </c>
      <c r="K139" s="8">
        <v>11</v>
      </c>
      <c r="L139" s="24">
        <f>WorkmanshipResultsTable[[#This Row],[Number of Failed Units]]/WorkmanshipResultsTable[[#This Row],[Total Units Built]]</f>
        <v>9.0909090909090912E-2</v>
      </c>
      <c r="M139" s="8"/>
      <c r="N139" s="13">
        <v>45494</v>
      </c>
      <c r="O139" s="9"/>
      <c r="P139" s="7" t="s">
        <v>48</v>
      </c>
      <c r="Q139" s="7" t="s">
        <v>560</v>
      </c>
      <c r="R139" s="7"/>
      <c r="S139" s="7"/>
      <c r="T139" s="7"/>
      <c r="U139" s="7"/>
    </row>
    <row r="140" spans="1:21" ht="64" customHeight="1">
      <c r="A140" s="7" t="s">
        <v>81</v>
      </c>
      <c r="B140" s="30" t="s">
        <v>71</v>
      </c>
      <c r="C140" s="7" t="s">
        <v>40</v>
      </c>
      <c r="D140" s="7" t="s">
        <v>555</v>
      </c>
      <c r="E140" s="7" t="s">
        <v>463</v>
      </c>
      <c r="F140" s="7" t="s">
        <v>622</v>
      </c>
      <c r="G140" s="7" t="s">
        <v>623</v>
      </c>
      <c r="H140" s="7" t="s">
        <v>624</v>
      </c>
      <c r="I140" s="10" t="s">
        <v>559</v>
      </c>
      <c r="J140" s="8">
        <v>1</v>
      </c>
      <c r="K140" s="8">
        <v>251</v>
      </c>
      <c r="L140" s="24">
        <f>WorkmanshipResultsTable[[#This Row],[Number of Failed Units]]/WorkmanshipResultsTable[[#This Row],[Total Units Built]]</f>
        <v>3.9840637450199202E-3</v>
      </c>
      <c r="M140" s="8"/>
      <c r="N140" s="13">
        <v>45557</v>
      </c>
      <c r="O140" s="9"/>
      <c r="P140" s="7" t="s">
        <v>48</v>
      </c>
      <c r="Q140" s="7" t="s">
        <v>560</v>
      </c>
      <c r="R140" s="7"/>
      <c r="S140" s="7"/>
      <c r="T140" s="7"/>
      <c r="U140" s="7"/>
    </row>
    <row r="141" spans="1:21" ht="28.5" customHeight="1">
      <c r="A141" s="7" t="s">
        <v>81</v>
      </c>
      <c r="B141" s="30" t="s">
        <v>71</v>
      </c>
      <c r="C141" s="7" t="s">
        <v>40</v>
      </c>
      <c r="D141" s="7" t="s">
        <v>555</v>
      </c>
      <c r="E141" s="7" t="s">
        <v>463</v>
      </c>
      <c r="F141" s="7" t="s">
        <v>625</v>
      </c>
      <c r="G141" s="7" t="s">
        <v>626</v>
      </c>
      <c r="H141" s="7" t="s">
        <v>627</v>
      </c>
      <c r="I141" s="10" t="s">
        <v>559</v>
      </c>
      <c r="J141" s="8">
        <v>1</v>
      </c>
      <c r="K141" s="8">
        <v>25</v>
      </c>
      <c r="L141" s="24">
        <f>WorkmanshipResultsTable[[#This Row],[Number of Failed Units]]/WorkmanshipResultsTable[[#This Row],[Total Units Built]]</f>
        <v>0.04</v>
      </c>
      <c r="M141" s="8"/>
      <c r="N141" s="13">
        <v>45571</v>
      </c>
      <c r="O141" s="9"/>
      <c r="P141" s="7" t="s">
        <v>48</v>
      </c>
      <c r="Q141" s="7" t="s">
        <v>560</v>
      </c>
      <c r="R141" s="7"/>
      <c r="S141" s="7"/>
      <c r="T141" s="7"/>
      <c r="U141" s="7"/>
    </row>
    <row r="142" spans="1:21" ht="29.25" customHeight="1">
      <c r="A142" s="7" t="s">
        <v>81</v>
      </c>
      <c r="B142" s="30" t="s">
        <v>71</v>
      </c>
      <c r="C142" s="7" t="s">
        <v>40</v>
      </c>
      <c r="D142" s="7" t="s">
        <v>555</v>
      </c>
      <c r="E142" s="7" t="s">
        <v>463</v>
      </c>
      <c r="F142" s="7" t="s">
        <v>628</v>
      </c>
      <c r="G142" s="7" t="s">
        <v>629</v>
      </c>
      <c r="H142" s="7" t="s">
        <v>627</v>
      </c>
      <c r="I142" s="10" t="s">
        <v>559</v>
      </c>
      <c r="J142" s="8">
        <v>1</v>
      </c>
      <c r="K142" s="8">
        <v>25</v>
      </c>
      <c r="L142" s="24">
        <f>WorkmanshipResultsTable[[#This Row],[Number of Failed Units]]/WorkmanshipResultsTable[[#This Row],[Total Units Built]]</f>
        <v>0.04</v>
      </c>
      <c r="M142" s="8"/>
      <c r="N142" s="13">
        <v>45578</v>
      </c>
      <c r="O142" s="9"/>
      <c r="P142" s="7" t="s">
        <v>48</v>
      </c>
      <c r="Q142" s="7" t="s">
        <v>560</v>
      </c>
      <c r="R142" s="7"/>
      <c r="S142" s="7"/>
      <c r="T142" s="7"/>
      <c r="U142" s="7"/>
    </row>
    <row r="143" spans="1:21" ht="80" customHeight="1">
      <c r="A143" s="7" t="s">
        <v>376</v>
      </c>
      <c r="B143" s="30" t="s">
        <v>71</v>
      </c>
      <c r="C143" s="7" t="s">
        <v>40</v>
      </c>
      <c r="D143" s="7" t="s">
        <v>555</v>
      </c>
      <c r="E143" s="7" t="s">
        <v>463</v>
      </c>
      <c r="F143" s="7" t="s">
        <v>630</v>
      </c>
      <c r="G143" s="7" t="s">
        <v>631</v>
      </c>
      <c r="H143" s="7" t="s">
        <v>632</v>
      </c>
      <c r="I143" s="10" t="s">
        <v>559</v>
      </c>
      <c r="J143" s="8">
        <v>5</v>
      </c>
      <c r="K143" s="8">
        <v>25</v>
      </c>
      <c r="L143" s="24">
        <f>WorkmanshipResultsTable[[#This Row],[Number of Failed Units]]/WorkmanshipResultsTable[[#This Row],[Total Units Built]]</f>
        <v>0.2</v>
      </c>
      <c r="M143" s="8"/>
      <c r="N143" s="13">
        <v>45578</v>
      </c>
      <c r="O143" s="9"/>
      <c r="P143" s="7" t="s">
        <v>48</v>
      </c>
      <c r="Q143" s="7" t="s">
        <v>560</v>
      </c>
      <c r="R143" s="7"/>
      <c r="S143" s="7"/>
      <c r="T143" s="7"/>
      <c r="U143" s="7"/>
    </row>
    <row r="144" spans="1:21" ht="32" customHeight="1">
      <c r="A144" s="7" t="s">
        <v>81</v>
      </c>
      <c r="B144" s="30" t="s">
        <v>71</v>
      </c>
      <c r="C144" s="7" t="s">
        <v>40</v>
      </c>
      <c r="D144" s="7" t="s">
        <v>555</v>
      </c>
      <c r="E144" s="7" t="s">
        <v>463</v>
      </c>
      <c r="F144" s="7" t="s">
        <v>633</v>
      </c>
      <c r="G144" s="7" t="s">
        <v>634</v>
      </c>
      <c r="H144" s="7" t="s">
        <v>635</v>
      </c>
      <c r="I144" s="10" t="s">
        <v>559</v>
      </c>
      <c r="J144" s="8">
        <v>1</v>
      </c>
      <c r="K144" s="8">
        <v>305</v>
      </c>
      <c r="L144" s="24">
        <f>WorkmanshipResultsTable[[#This Row],[Number of Failed Units]]/WorkmanshipResultsTable[[#This Row],[Total Units Built]]</f>
        <v>3.2786885245901639E-3</v>
      </c>
      <c r="M144" s="8"/>
      <c r="N144" s="13">
        <v>45585</v>
      </c>
      <c r="O144" s="9"/>
      <c r="P144" s="7" t="s">
        <v>48</v>
      </c>
      <c r="Q144" s="7" t="s">
        <v>560</v>
      </c>
      <c r="R144" s="7"/>
      <c r="S144" s="7"/>
      <c r="T144" s="7"/>
      <c r="U144" s="7"/>
    </row>
    <row r="145" spans="1:21" ht="36" customHeight="1">
      <c r="A145" s="7" t="s">
        <v>81</v>
      </c>
      <c r="B145" s="30" t="s">
        <v>22</v>
      </c>
      <c r="C145" s="7" t="s">
        <v>40</v>
      </c>
      <c r="D145" s="7" t="s">
        <v>555</v>
      </c>
      <c r="E145" s="7" t="s">
        <v>463</v>
      </c>
      <c r="F145" s="7" t="s">
        <v>636</v>
      </c>
      <c r="G145" s="7" t="s">
        <v>637</v>
      </c>
      <c r="H145" s="7" t="s">
        <v>638</v>
      </c>
      <c r="I145" s="10" t="s">
        <v>559</v>
      </c>
      <c r="J145" s="8">
        <v>6</v>
      </c>
      <c r="K145" s="8">
        <v>305</v>
      </c>
      <c r="L145" s="24">
        <f>WorkmanshipResultsTable[[#This Row],[Number of Failed Units]]/WorkmanshipResultsTable[[#This Row],[Total Units Built]]</f>
        <v>1.9672131147540985E-2</v>
      </c>
      <c r="M145" s="8"/>
      <c r="N145" s="13">
        <v>45585</v>
      </c>
      <c r="O145" s="9"/>
      <c r="P145" s="7" t="s">
        <v>48</v>
      </c>
      <c r="Q145" s="7" t="s">
        <v>560</v>
      </c>
      <c r="R145" s="7"/>
      <c r="S145" s="7"/>
      <c r="T145" s="7"/>
      <c r="U145" s="7"/>
    </row>
    <row r="146" spans="1:21" ht="112" customHeight="1">
      <c r="A146" s="7" t="s">
        <v>376</v>
      </c>
      <c r="B146" s="30" t="s">
        <v>71</v>
      </c>
      <c r="C146" s="7" t="s">
        <v>40</v>
      </c>
      <c r="D146" s="7" t="s">
        <v>555</v>
      </c>
      <c r="E146" s="7" t="s">
        <v>463</v>
      </c>
      <c r="F146" s="7" t="s">
        <v>639</v>
      </c>
      <c r="G146" s="7" t="s">
        <v>640</v>
      </c>
      <c r="H146" s="7" t="s">
        <v>641</v>
      </c>
      <c r="I146" s="10" t="s">
        <v>559</v>
      </c>
      <c r="J146" s="8">
        <v>8</v>
      </c>
      <c r="K146" s="8">
        <v>305</v>
      </c>
      <c r="L146" s="21">
        <f>WorkmanshipResultsTable[[#This Row],[Number of Failed Units]]/WorkmanshipResultsTable[[#This Row],[Total Units Built]]</f>
        <v>2.6229508196721311E-2</v>
      </c>
      <c r="M146" s="8"/>
      <c r="N146" s="13">
        <v>45585</v>
      </c>
      <c r="O146" s="9"/>
      <c r="P146" s="7" t="s">
        <v>48</v>
      </c>
      <c r="Q146" s="7" t="s">
        <v>560</v>
      </c>
      <c r="R146" s="7"/>
      <c r="S146" s="7"/>
      <c r="T146" s="7"/>
      <c r="U146" s="7"/>
    </row>
    <row r="147" spans="1:21" ht="32" customHeight="1">
      <c r="A147" s="7" t="s">
        <v>376</v>
      </c>
      <c r="B147" s="30" t="s">
        <v>71</v>
      </c>
      <c r="C147" s="7" t="s">
        <v>197</v>
      </c>
      <c r="D147" s="7" t="s">
        <v>642</v>
      </c>
      <c r="E147" s="7" t="s">
        <v>643</v>
      </c>
      <c r="F147" s="7" t="s">
        <v>644</v>
      </c>
      <c r="G147" s="7" t="s">
        <v>645</v>
      </c>
      <c r="H147" s="7" t="s">
        <v>646</v>
      </c>
      <c r="I147" s="7" t="s">
        <v>426</v>
      </c>
      <c r="J147" s="8">
        <v>1</v>
      </c>
      <c r="K147" s="8">
        <v>115</v>
      </c>
      <c r="L147" s="21">
        <f>WorkmanshipResultsTable[[#This Row],[Number of Failed Units]]/WorkmanshipResultsTable[[#This Row],[Total Units Built]]</f>
        <v>8.6956521739130436E-3</v>
      </c>
      <c r="M147" s="8"/>
      <c r="N147" s="17">
        <v>45939</v>
      </c>
      <c r="O147" s="9"/>
      <c r="P147" s="7" t="s">
        <v>48</v>
      </c>
      <c r="Q147" s="7" t="s">
        <v>647</v>
      </c>
      <c r="R147" s="7"/>
      <c r="S147" s="7"/>
      <c r="T147" s="7"/>
      <c r="U147" s="7"/>
    </row>
    <row r="148" spans="1:21" ht="80" customHeight="1">
      <c r="A148" s="7" t="s">
        <v>182</v>
      </c>
      <c r="B148" s="30" t="s">
        <v>1273</v>
      </c>
      <c r="C148" s="7" t="s">
        <v>23</v>
      </c>
      <c r="D148" s="7" t="s">
        <v>648</v>
      </c>
      <c r="E148" s="7"/>
      <c r="F148" s="7" t="s">
        <v>649</v>
      </c>
      <c r="G148" s="7" t="s">
        <v>650</v>
      </c>
      <c r="H148" s="7" t="s">
        <v>651</v>
      </c>
      <c r="I148" s="7" t="s">
        <v>29</v>
      </c>
      <c r="J148" s="8">
        <v>2</v>
      </c>
      <c r="K148" s="8"/>
      <c r="L148" s="21">
        <v>4.1700000000000001E-2</v>
      </c>
      <c r="M148" s="8" t="s">
        <v>652</v>
      </c>
      <c r="N148" s="13">
        <v>45426</v>
      </c>
      <c r="O148" s="9" t="s">
        <v>653</v>
      </c>
      <c r="P148" s="9" t="s">
        <v>32</v>
      </c>
      <c r="Q148" s="10" t="s">
        <v>654</v>
      </c>
      <c r="R148" s="7"/>
      <c r="S148" s="7"/>
      <c r="T148" s="7"/>
      <c r="U148" s="7"/>
    </row>
    <row r="149" spans="1:21" ht="80" customHeight="1">
      <c r="A149" s="7" t="s">
        <v>182</v>
      </c>
      <c r="B149" s="30" t="s">
        <v>326</v>
      </c>
      <c r="C149" s="7" t="s">
        <v>23</v>
      </c>
      <c r="D149" s="7" t="s">
        <v>655</v>
      </c>
      <c r="E149" s="7"/>
      <c r="F149" s="7" t="s">
        <v>656</v>
      </c>
      <c r="G149" s="7" t="s">
        <v>657</v>
      </c>
      <c r="H149" s="7" t="s">
        <v>651</v>
      </c>
      <c r="I149" s="7" t="s">
        <v>29</v>
      </c>
      <c r="J149" s="8">
        <v>1</v>
      </c>
      <c r="K149" s="8"/>
      <c r="L149" s="21">
        <v>2.0799999999999999E-2</v>
      </c>
      <c r="M149" s="8" t="s">
        <v>652</v>
      </c>
      <c r="N149" s="13">
        <v>45428</v>
      </c>
      <c r="O149" s="9" t="s">
        <v>653</v>
      </c>
      <c r="P149" s="9" t="s">
        <v>32</v>
      </c>
      <c r="Q149" s="10" t="s">
        <v>654</v>
      </c>
      <c r="R149" s="7"/>
      <c r="S149" s="7"/>
      <c r="T149" s="7"/>
      <c r="U149" s="7"/>
    </row>
    <row r="150" spans="1:21" ht="48" customHeight="1">
      <c r="A150" s="7" t="s">
        <v>182</v>
      </c>
      <c r="B150" s="30" t="s">
        <v>445</v>
      </c>
      <c r="C150" s="7" t="s">
        <v>23</v>
      </c>
      <c r="D150" s="7" t="s">
        <v>382</v>
      </c>
      <c r="E150" s="7" t="s">
        <v>658</v>
      </c>
      <c r="F150" s="7" t="s">
        <v>659</v>
      </c>
      <c r="G150" s="7" t="s">
        <v>660</v>
      </c>
      <c r="H150" s="7" t="s">
        <v>661</v>
      </c>
      <c r="I150" s="7" t="s">
        <v>29</v>
      </c>
      <c r="J150" s="8">
        <v>2</v>
      </c>
      <c r="K150" s="8">
        <v>54</v>
      </c>
      <c r="L150" s="21">
        <f>WorkmanshipResultsTable[[#This Row],[Number of Failed Units]]/WorkmanshipResultsTable[[#This Row],[Total Units Built]]</f>
        <v>3.7037037037037035E-2</v>
      </c>
      <c r="M150" s="8" t="s">
        <v>662</v>
      </c>
      <c r="N150" s="13" t="s">
        <v>663</v>
      </c>
      <c r="O150" s="29" t="s">
        <v>386</v>
      </c>
      <c r="P150" s="9" t="s">
        <v>32</v>
      </c>
      <c r="Q150" s="10" t="s">
        <v>654</v>
      </c>
      <c r="R150" s="7"/>
      <c r="S150" s="7"/>
      <c r="T150" s="7"/>
      <c r="U150" s="7"/>
    </row>
    <row r="151" spans="1:21" ht="64" customHeight="1">
      <c r="A151" s="7" t="s">
        <v>182</v>
      </c>
      <c r="B151" s="30" t="s">
        <v>1273</v>
      </c>
      <c r="C151" s="7" t="s">
        <v>40</v>
      </c>
      <c r="D151" s="7" t="s">
        <v>664</v>
      </c>
      <c r="E151" s="7"/>
      <c r="F151" s="7"/>
      <c r="G151" s="7" t="s">
        <v>665</v>
      </c>
      <c r="H151" s="7" t="s">
        <v>666</v>
      </c>
      <c r="I151" s="7" t="s">
        <v>559</v>
      </c>
      <c r="J151" s="8">
        <v>39</v>
      </c>
      <c r="K151" s="8"/>
      <c r="L151" s="21">
        <v>7.0800000000000002E-2</v>
      </c>
      <c r="M151" s="8" t="s">
        <v>667</v>
      </c>
      <c r="N151" s="13">
        <v>45326</v>
      </c>
      <c r="O151" s="9" t="s">
        <v>653</v>
      </c>
      <c r="P151" s="9" t="s">
        <v>32</v>
      </c>
      <c r="Q151" s="10" t="s">
        <v>654</v>
      </c>
      <c r="R151" s="7"/>
      <c r="S151" s="7"/>
      <c r="T151" s="7"/>
      <c r="U151" s="7"/>
    </row>
    <row r="152" spans="1:21" ht="96" customHeight="1">
      <c r="A152" s="7" t="s">
        <v>182</v>
      </c>
      <c r="B152" s="30" t="s">
        <v>445</v>
      </c>
      <c r="C152" s="7" t="s">
        <v>23</v>
      </c>
      <c r="D152" s="7" t="s">
        <v>382</v>
      </c>
      <c r="E152" s="7" t="s">
        <v>668</v>
      </c>
      <c r="F152" s="7" t="s">
        <v>669</v>
      </c>
      <c r="G152" s="7" t="s">
        <v>670</v>
      </c>
      <c r="H152" s="7" t="s">
        <v>671</v>
      </c>
      <c r="I152" s="7" t="s">
        <v>29</v>
      </c>
      <c r="J152" s="8">
        <v>1</v>
      </c>
      <c r="K152" s="8">
        <v>35</v>
      </c>
      <c r="L152" s="21">
        <f>WorkmanshipResultsTable[[#This Row],[Number of Failed Units]]/WorkmanshipResultsTable[[#This Row],[Total Units Built]]</f>
        <v>2.8571428571428571E-2</v>
      </c>
      <c r="M152" s="8" t="s">
        <v>672</v>
      </c>
      <c r="N152" s="13">
        <v>45770</v>
      </c>
      <c r="O152" s="9" t="s">
        <v>386</v>
      </c>
      <c r="P152" s="9" t="s">
        <v>205</v>
      </c>
      <c r="Q152" s="7" t="s">
        <v>673</v>
      </c>
      <c r="R152" s="7"/>
      <c r="S152" s="7"/>
      <c r="T152" s="7"/>
      <c r="U152" s="7"/>
    </row>
    <row r="153" spans="1:21" ht="48" customHeight="1">
      <c r="A153" s="7" t="s">
        <v>182</v>
      </c>
      <c r="B153" s="30" t="s">
        <v>1272</v>
      </c>
      <c r="C153" s="7" t="s">
        <v>23</v>
      </c>
      <c r="D153" s="7" t="s">
        <v>655</v>
      </c>
      <c r="E153" s="7" t="s">
        <v>674</v>
      </c>
      <c r="F153" s="7" t="s">
        <v>675</v>
      </c>
      <c r="G153" s="7" t="s">
        <v>676</v>
      </c>
      <c r="H153" s="7" t="s">
        <v>677</v>
      </c>
      <c r="I153" s="7" t="s">
        <v>265</v>
      </c>
      <c r="J153" s="8">
        <v>1</v>
      </c>
      <c r="K153" s="8">
        <v>79</v>
      </c>
      <c r="L153" s="24">
        <f>WorkmanshipResultsTable[[#This Row],[Number of Failed Units]]/WorkmanshipResultsTable[[#This Row],[Total Units Built]]</f>
        <v>1.2658227848101266E-2</v>
      </c>
      <c r="M153" s="8" t="s">
        <v>678</v>
      </c>
      <c r="N153" s="13">
        <v>45724</v>
      </c>
      <c r="O153" s="9"/>
      <c r="P153" s="9" t="s">
        <v>205</v>
      </c>
      <c r="Q153" s="7" t="s">
        <v>673</v>
      </c>
      <c r="R153" s="7"/>
      <c r="S153" s="7"/>
      <c r="T153" s="7"/>
      <c r="U153" s="7"/>
    </row>
    <row r="154" spans="1:21" ht="64" customHeight="1">
      <c r="A154" s="7" t="s">
        <v>182</v>
      </c>
      <c r="B154" s="30" t="s">
        <v>155</v>
      </c>
      <c r="C154" s="7" t="s">
        <v>23</v>
      </c>
      <c r="D154" s="7" t="s">
        <v>679</v>
      </c>
      <c r="E154" s="7" t="s">
        <v>680</v>
      </c>
      <c r="F154" s="7" t="s">
        <v>681</v>
      </c>
      <c r="G154" s="7" t="s">
        <v>682</v>
      </c>
      <c r="H154" s="7" t="s">
        <v>683</v>
      </c>
      <c r="I154" s="7" t="s">
        <v>426</v>
      </c>
      <c r="J154" s="8">
        <v>1</v>
      </c>
      <c r="K154" s="8">
        <v>251</v>
      </c>
      <c r="L154" s="24">
        <f>WorkmanshipResultsTable[[#This Row],[Number of Failed Units]]/WorkmanshipResultsTable[[#This Row],[Total Units Built]]</f>
        <v>3.9840637450199202E-3</v>
      </c>
      <c r="M154" s="8" t="s">
        <v>684</v>
      </c>
      <c r="N154" s="13">
        <v>45771</v>
      </c>
      <c r="O154" s="29" t="s">
        <v>195</v>
      </c>
      <c r="P154" s="9" t="s">
        <v>205</v>
      </c>
      <c r="Q154" s="7" t="s">
        <v>673</v>
      </c>
      <c r="R154" s="7"/>
      <c r="S154" s="7"/>
      <c r="T154" s="7"/>
      <c r="U154" s="7"/>
    </row>
    <row r="155" spans="1:21" ht="48" customHeight="1">
      <c r="A155" s="7" t="s">
        <v>182</v>
      </c>
      <c r="B155" s="30" t="s">
        <v>155</v>
      </c>
      <c r="C155" s="7" t="s">
        <v>23</v>
      </c>
      <c r="D155" s="7" t="s">
        <v>685</v>
      </c>
      <c r="E155" s="7" t="s">
        <v>680</v>
      </c>
      <c r="F155" s="7" t="s">
        <v>686</v>
      </c>
      <c r="G155" s="7" t="s">
        <v>687</v>
      </c>
      <c r="H155" s="7" t="s">
        <v>688</v>
      </c>
      <c r="I155" s="7" t="s">
        <v>426</v>
      </c>
      <c r="J155" s="8">
        <v>1</v>
      </c>
      <c r="K155" s="8">
        <v>171</v>
      </c>
      <c r="L155" s="24">
        <f>WorkmanshipResultsTable[[#This Row],[Number of Failed Units]]/WorkmanshipResultsTable[[#This Row],[Total Units Built]]</f>
        <v>5.8479532163742687E-3</v>
      </c>
      <c r="M155" s="8" t="s">
        <v>689</v>
      </c>
      <c r="N155" s="13">
        <v>45959</v>
      </c>
      <c r="O155" s="29" t="s">
        <v>195</v>
      </c>
      <c r="P155" s="9" t="s">
        <v>205</v>
      </c>
      <c r="Q155" s="7" t="s">
        <v>673</v>
      </c>
      <c r="R155" s="7"/>
      <c r="S155" s="7"/>
      <c r="T155" s="7"/>
      <c r="U155" s="7"/>
    </row>
    <row r="156" spans="1:21" ht="64" customHeight="1">
      <c r="A156" s="7" t="s">
        <v>182</v>
      </c>
      <c r="B156" s="30" t="s">
        <v>1273</v>
      </c>
      <c r="C156" s="7" t="s">
        <v>23</v>
      </c>
      <c r="D156" s="7" t="s">
        <v>690</v>
      </c>
      <c r="E156" s="7" t="s">
        <v>691</v>
      </c>
      <c r="F156" s="7" t="s">
        <v>692</v>
      </c>
      <c r="G156" s="7" t="s">
        <v>693</v>
      </c>
      <c r="H156" s="7" t="s">
        <v>694</v>
      </c>
      <c r="I156" s="7" t="s">
        <v>559</v>
      </c>
      <c r="J156" s="8">
        <v>1</v>
      </c>
      <c r="K156" s="8"/>
      <c r="L156" s="24" t="e">
        <f>WorkmanshipResultsTable[[#This Row],[Number of Failed Units]]/WorkmanshipResultsTable[[#This Row],[Total Units Built]]</f>
        <v>#DIV/0!</v>
      </c>
      <c r="M156" s="8" t="s">
        <v>695</v>
      </c>
      <c r="N156" s="13">
        <v>45990</v>
      </c>
      <c r="O156" s="9"/>
      <c r="P156" s="9" t="s">
        <v>205</v>
      </c>
      <c r="Q156" s="7" t="s">
        <v>673</v>
      </c>
      <c r="R156" s="7"/>
      <c r="S156" s="7"/>
      <c r="T156" s="7"/>
      <c r="U156" s="7"/>
    </row>
    <row r="157" spans="1:21" ht="32" customHeight="1">
      <c r="A157" s="7" t="s">
        <v>182</v>
      </c>
      <c r="B157" s="30" t="s">
        <v>71</v>
      </c>
      <c r="C157" s="7" t="s">
        <v>23</v>
      </c>
      <c r="D157" s="7" t="s">
        <v>696</v>
      </c>
      <c r="E157" s="7"/>
      <c r="F157" s="7" t="s">
        <v>697</v>
      </c>
      <c r="G157" s="7" t="s">
        <v>698</v>
      </c>
      <c r="H157" s="7" t="s">
        <v>699</v>
      </c>
      <c r="I157" s="7" t="s">
        <v>265</v>
      </c>
      <c r="J157" s="8">
        <v>3</v>
      </c>
      <c r="K157" s="8">
        <v>569</v>
      </c>
      <c r="L157" s="21">
        <f>WorkmanshipResultsTable[[#This Row],[Number of Failed Units]]/WorkmanshipResultsTable[[#This Row],[Total Units Built]]</f>
        <v>5.272407732864675E-3</v>
      </c>
      <c r="M157" s="8"/>
      <c r="N157" s="13">
        <v>45345</v>
      </c>
      <c r="O157" s="9"/>
      <c r="P157" s="7" t="s">
        <v>48</v>
      </c>
      <c r="Q157" s="7" t="s">
        <v>266</v>
      </c>
      <c r="R157" s="7"/>
      <c r="S157" s="7"/>
      <c r="T157" s="7"/>
      <c r="U157" s="7"/>
    </row>
    <row r="158" spans="1:21" ht="80" customHeight="1">
      <c r="A158" s="7" t="s">
        <v>182</v>
      </c>
      <c r="B158" s="30" t="s">
        <v>225</v>
      </c>
      <c r="C158" s="7" t="s">
        <v>23</v>
      </c>
      <c r="D158" s="7" t="s">
        <v>700</v>
      </c>
      <c r="E158" s="7" t="s">
        <v>701</v>
      </c>
      <c r="F158" s="7" t="s">
        <v>702</v>
      </c>
      <c r="G158" s="7" t="s">
        <v>703</v>
      </c>
      <c r="H158" s="7" t="s">
        <v>704</v>
      </c>
      <c r="I158" s="7" t="s">
        <v>265</v>
      </c>
      <c r="J158" s="8">
        <v>2</v>
      </c>
      <c r="K158" s="8"/>
      <c r="L158" s="24" t="e">
        <f>WorkmanshipResultsTable[[#This Row],[Number of Failed Units]]/WorkmanshipResultsTable[[#This Row],[Total Units Built]]</f>
        <v>#DIV/0!</v>
      </c>
      <c r="M158" s="8" t="s">
        <v>705</v>
      </c>
      <c r="N158" s="13">
        <v>45841</v>
      </c>
      <c r="O158" s="9"/>
      <c r="P158" s="9" t="s">
        <v>205</v>
      </c>
      <c r="Q158" s="7" t="s">
        <v>673</v>
      </c>
      <c r="R158" s="7"/>
      <c r="S158" s="7"/>
      <c r="T158" s="7"/>
      <c r="U158" s="7"/>
    </row>
    <row r="159" spans="1:21" ht="48" customHeight="1">
      <c r="A159" s="7" t="s">
        <v>182</v>
      </c>
      <c r="B159" s="30" t="s">
        <v>225</v>
      </c>
      <c r="C159" s="7" t="s">
        <v>23</v>
      </c>
      <c r="D159" s="7" t="s">
        <v>706</v>
      </c>
      <c r="E159" s="7"/>
      <c r="F159" s="7" t="s">
        <v>707</v>
      </c>
      <c r="G159" s="7" t="s">
        <v>708</v>
      </c>
      <c r="H159" s="7" t="s">
        <v>709</v>
      </c>
      <c r="I159" s="7" t="s">
        <v>265</v>
      </c>
      <c r="J159" s="8"/>
      <c r="K159" s="8"/>
      <c r="L159" s="22"/>
      <c r="M159" s="8"/>
      <c r="N159" s="13">
        <v>45324</v>
      </c>
      <c r="O159" s="9"/>
      <c r="P159" s="7" t="s">
        <v>48</v>
      </c>
      <c r="Q159" s="7" t="s">
        <v>266</v>
      </c>
      <c r="R159" s="7"/>
      <c r="S159" s="7"/>
      <c r="T159" s="7"/>
      <c r="U159" s="7"/>
    </row>
    <row r="160" spans="1:21" ht="32" customHeight="1">
      <c r="A160" s="7" t="s">
        <v>182</v>
      </c>
      <c r="B160" s="30" t="s">
        <v>208</v>
      </c>
      <c r="C160" s="7" t="s">
        <v>23</v>
      </c>
      <c r="D160" s="7" t="s">
        <v>710</v>
      </c>
      <c r="E160" s="7"/>
      <c r="F160" s="7" t="s">
        <v>711</v>
      </c>
      <c r="G160" s="7" t="s">
        <v>712</v>
      </c>
      <c r="H160" s="7" t="s">
        <v>713</v>
      </c>
      <c r="I160" s="7" t="s">
        <v>265</v>
      </c>
      <c r="J160" s="8"/>
      <c r="K160" s="8"/>
      <c r="L160" s="22"/>
      <c r="M160" s="8"/>
      <c r="N160" s="13">
        <v>45324</v>
      </c>
      <c r="O160" s="9"/>
      <c r="P160" s="7" t="s">
        <v>48</v>
      </c>
      <c r="Q160" s="7" t="s">
        <v>266</v>
      </c>
      <c r="R160" s="7"/>
      <c r="S160" s="7"/>
      <c r="T160" s="7"/>
      <c r="U160" s="7"/>
    </row>
    <row r="161" spans="1:21" ht="80" customHeight="1">
      <c r="A161" s="7" t="s">
        <v>182</v>
      </c>
      <c r="B161" s="30" t="s">
        <v>225</v>
      </c>
      <c r="C161" s="7" t="s">
        <v>23</v>
      </c>
      <c r="D161" s="7" t="s">
        <v>714</v>
      </c>
      <c r="E161" s="7"/>
      <c r="F161" s="7" t="s">
        <v>715</v>
      </c>
      <c r="G161" s="7" t="s">
        <v>716</v>
      </c>
      <c r="H161" s="7" t="s">
        <v>717</v>
      </c>
      <c r="I161" s="7" t="s">
        <v>265</v>
      </c>
      <c r="J161" s="8">
        <v>3</v>
      </c>
      <c r="K161" s="8"/>
      <c r="L161" s="22"/>
      <c r="M161" s="8"/>
      <c r="N161" s="13">
        <v>45331</v>
      </c>
      <c r="O161" s="9"/>
      <c r="P161" s="7" t="s">
        <v>48</v>
      </c>
      <c r="Q161" s="7" t="s">
        <v>266</v>
      </c>
      <c r="R161" s="7"/>
      <c r="S161" s="7"/>
      <c r="T161" s="7"/>
      <c r="U161" s="7"/>
    </row>
    <row r="162" spans="1:21" ht="80" customHeight="1">
      <c r="A162" s="7" t="s">
        <v>182</v>
      </c>
      <c r="B162" s="30" t="s">
        <v>225</v>
      </c>
      <c r="C162" s="7" t="s">
        <v>23</v>
      </c>
      <c r="D162" s="7" t="s">
        <v>718</v>
      </c>
      <c r="E162" s="7"/>
      <c r="F162" s="7" t="s">
        <v>719</v>
      </c>
      <c r="G162" s="7" t="s">
        <v>720</v>
      </c>
      <c r="H162" s="7" t="s">
        <v>717</v>
      </c>
      <c r="I162" s="7" t="s">
        <v>265</v>
      </c>
      <c r="J162" s="8">
        <v>3</v>
      </c>
      <c r="K162" s="8"/>
      <c r="L162" s="22"/>
      <c r="M162" s="8"/>
      <c r="N162" s="13">
        <v>45331</v>
      </c>
      <c r="O162" s="9"/>
      <c r="P162" s="7" t="s">
        <v>48</v>
      </c>
      <c r="Q162" s="7" t="s">
        <v>266</v>
      </c>
      <c r="R162" s="7"/>
      <c r="S162" s="7"/>
      <c r="T162" s="7"/>
      <c r="U162" s="7"/>
    </row>
    <row r="163" spans="1:21" ht="48" customHeight="1">
      <c r="A163" s="7" t="s">
        <v>182</v>
      </c>
      <c r="B163" s="30" t="s">
        <v>225</v>
      </c>
      <c r="C163" s="7" t="s">
        <v>23</v>
      </c>
      <c r="D163" s="7" t="s">
        <v>721</v>
      </c>
      <c r="E163" s="7"/>
      <c r="F163" s="7" t="s">
        <v>722</v>
      </c>
      <c r="G163" s="7" t="s">
        <v>723</v>
      </c>
      <c r="H163" s="7" t="s">
        <v>717</v>
      </c>
      <c r="I163" s="7" t="s">
        <v>265</v>
      </c>
      <c r="J163" s="8">
        <v>3</v>
      </c>
      <c r="K163" s="8"/>
      <c r="L163" s="22"/>
      <c r="M163" s="8"/>
      <c r="N163" s="13">
        <v>45331</v>
      </c>
      <c r="O163" s="9"/>
      <c r="P163" s="7" t="s">
        <v>48</v>
      </c>
      <c r="Q163" s="7" t="s">
        <v>266</v>
      </c>
      <c r="R163" s="7"/>
      <c r="S163" s="7"/>
      <c r="T163" s="7"/>
      <c r="U163" s="7"/>
    </row>
    <row r="164" spans="1:21" ht="80" customHeight="1">
      <c r="A164" s="7" t="s">
        <v>182</v>
      </c>
      <c r="B164" s="30" t="s">
        <v>225</v>
      </c>
      <c r="C164" s="7" t="s">
        <v>23</v>
      </c>
      <c r="D164" s="7" t="s">
        <v>718</v>
      </c>
      <c r="E164" s="7"/>
      <c r="F164" s="7" t="s">
        <v>724</v>
      </c>
      <c r="G164" s="7" t="s">
        <v>720</v>
      </c>
      <c r="H164" s="7" t="s">
        <v>264</v>
      </c>
      <c r="I164" s="7" t="s">
        <v>265</v>
      </c>
      <c r="J164" s="8">
        <v>10</v>
      </c>
      <c r="K164" s="8"/>
      <c r="L164" s="22"/>
      <c r="M164" s="8"/>
      <c r="N164" s="13">
        <v>45338</v>
      </c>
      <c r="O164" s="9"/>
      <c r="P164" s="7" t="s">
        <v>48</v>
      </c>
      <c r="Q164" s="7" t="s">
        <v>266</v>
      </c>
      <c r="R164" s="7"/>
      <c r="S164" s="7"/>
      <c r="T164" s="7"/>
      <c r="U164" s="7"/>
    </row>
    <row r="165" spans="1:21" ht="48" customHeight="1">
      <c r="A165" s="7" t="s">
        <v>182</v>
      </c>
      <c r="B165" s="30" t="s">
        <v>225</v>
      </c>
      <c r="C165" s="7" t="s">
        <v>23</v>
      </c>
      <c r="D165" s="7" t="s">
        <v>261</v>
      </c>
      <c r="E165" s="7"/>
      <c r="F165" s="7" t="s">
        <v>725</v>
      </c>
      <c r="G165" s="7" t="s">
        <v>726</v>
      </c>
      <c r="H165" s="7" t="s">
        <v>717</v>
      </c>
      <c r="I165" s="7" t="s">
        <v>265</v>
      </c>
      <c r="J165" s="8">
        <v>7</v>
      </c>
      <c r="K165" s="8">
        <v>540</v>
      </c>
      <c r="L165" s="21">
        <f>WorkmanshipResultsTable[[#This Row],[Number of Failed Units]]/WorkmanshipResultsTable[[#This Row],[Total Units Built]]</f>
        <v>1.2962962962962963E-2</v>
      </c>
      <c r="M165" s="8"/>
      <c r="N165" s="13">
        <v>45352</v>
      </c>
      <c r="O165" s="9"/>
      <c r="P165" s="7" t="s">
        <v>48</v>
      </c>
      <c r="Q165" s="7" t="s">
        <v>266</v>
      </c>
      <c r="R165" s="7"/>
      <c r="S165" s="7"/>
      <c r="T165" s="7"/>
      <c r="U165" s="7"/>
    </row>
    <row r="166" spans="1:21" ht="48" customHeight="1">
      <c r="A166" s="7" t="s">
        <v>182</v>
      </c>
      <c r="B166" s="30" t="s">
        <v>225</v>
      </c>
      <c r="C166" s="7" t="s">
        <v>23</v>
      </c>
      <c r="D166" s="7" t="s">
        <v>721</v>
      </c>
      <c r="E166" s="7"/>
      <c r="F166" s="7" t="s">
        <v>727</v>
      </c>
      <c r="G166" s="7" t="s">
        <v>723</v>
      </c>
      <c r="H166" s="7" t="s">
        <v>717</v>
      </c>
      <c r="I166" s="7" t="s">
        <v>265</v>
      </c>
      <c r="J166" s="8">
        <v>6</v>
      </c>
      <c r="K166" s="8"/>
      <c r="L166" s="22"/>
      <c r="M166" s="8"/>
      <c r="N166" s="13">
        <v>45345</v>
      </c>
      <c r="O166" s="9"/>
      <c r="P166" s="7" t="s">
        <v>48</v>
      </c>
      <c r="Q166" s="7" t="s">
        <v>266</v>
      </c>
      <c r="R166" s="7"/>
      <c r="S166" s="7"/>
      <c r="T166" s="7"/>
      <c r="U166" s="7"/>
    </row>
    <row r="167" spans="1:21" ht="48" customHeight="1">
      <c r="A167" s="7" t="s">
        <v>182</v>
      </c>
      <c r="B167" s="30" t="s">
        <v>225</v>
      </c>
      <c r="C167" s="7" t="s">
        <v>23</v>
      </c>
      <c r="D167" s="7" t="s">
        <v>696</v>
      </c>
      <c r="E167" s="7"/>
      <c r="F167" s="7" t="s">
        <v>728</v>
      </c>
      <c r="G167" s="7" t="s">
        <v>729</v>
      </c>
      <c r="H167" s="7" t="s">
        <v>730</v>
      </c>
      <c r="I167" s="7" t="s">
        <v>265</v>
      </c>
      <c r="J167" s="8">
        <v>4</v>
      </c>
      <c r="K167" s="8"/>
      <c r="L167" s="22"/>
      <c r="M167" s="8"/>
      <c r="N167" s="13">
        <v>45352</v>
      </c>
      <c r="O167" s="9"/>
      <c r="P167" s="7" t="s">
        <v>48</v>
      </c>
      <c r="Q167" s="7" t="s">
        <v>266</v>
      </c>
      <c r="R167" s="7"/>
      <c r="S167" s="7"/>
      <c r="T167" s="7"/>
      <c r="U167" s="7"/>
    </row>
    <row r="168" spans="1:21" ht="32" customHeight="1">
      <c r="A168" s="7" t="s">
        <v>182</v>
      </c>
      <c r="B168" s="30" t="s">
        <v>1273</v>
      </c>
      <c r="C168" s="7" t="s">
        <v>23</v>
      </c>
      <c r="D168" s="7" t="s">
        <v>261</v>
      </c>
      <c r="E168" s="7"/>
      <c r="F168" s="7" t="s">
        <v>731</v>
      </c>
      <c r="G168" s="7" t="s">
        <v>732</v>
      </c>
      <c r="H168" s="7" t="s">
        <v>733</v>
      </c>
      <c r="I168" s="7" t="s">
        <v>265</v>
      </c>
      <c r="J168" s="8">
        <v>4</v>
      </c>
      <c r="K168" s="8"/>
      <c r="L168" s="22"/>
      <c r="M168" s="8"/>
      <c r="N168" s="13">
        <v>45352</v>
      </c>
      <c r="O168" s="9"/>
      <c r="P168" s="7" t="s">
        <v>48</v>
      </c>
      <c r="Q168" s="7" t="s">
        <v>266</v>
      </c>
      <c r="R168" s="7"/>
      <c r="S168" s="7"/>
      <c r="T168" s="7"/>
      <c r="U168" s="7"/>
    </row>
    <row r="169" spans="1:21" ht="48" customHeight="1">
      <c r="A169" s="7" t="s">
        <v>182</v>
      </c>
      <c r="B169" s="30" t="s">
        <v>225</v>
      </c>
      <c r="C169" s="7" t="s">
        <v>23</v>
      </c>
      <c r="D169" s="7" t="s">
        <v>734</v>
      </c>
      <c r="E169" s="7"/>
      <c r="F169" s="7" t="s">
        <v>735</v>
      </c>
      <c r="G169" s="7" t="s">
        <v>723</v>
      </c>
      <c r="H169" s="7" t="s">
        <v>717</v>
      </c>
      <c r="I169" s="7" t="s">
        <v>265</v>
      </c>
      <c r="J169" s="8">
        <v>7</v>
      </c>
      <c r="K169" s="8"/>
      <c r="L169" s="22"/>
      <c r="M169" s="8"/>
      <c r="N169" s="13">
        <v>45352</v>
      </c>
      <c r="O169" s="9"/>
      <c r="P169" s="7" t="s">
        <v>48</v>
      </c>
      <c r="Q169" s="7" t="s">
        <v>266</v>
      </c>
      <c r="R169" s="7"/>
      <c r="S169" s="7"/>
      <c r="T169" s="7"/>
      <c r="U169" s="7"/>
    </row>
    <row r="170" spans="1:21" ht="32" customHeight="1">
      <c r="A170" s="7" t="s">
        <v>182</v>
      </c>
      <c r="B170" s="30" t="s">
        <v>1273</v>
      </c>
      <c r="C170" s="7" t="s">
        <v>23</v>
      </c>
      <c r="D170" s="7" t="s">
        <v>696</v>
      </c>
      <c r="E170" s="7"/>
      <c r="F170" s="7" t="s">
        <v>736</v>
      </c>
      <c r="G170" s="7" t="s">
        <v>737</v>
      </c>
      <c r="H170" s="7" t="s">
        <v>733</v>
      </c>
      <c r="I170" s="7" t="s">
        <v>265</v>
      </c>
      <c r="J170" s="8">
        <v>4</v>
      </c>
      <c r="K170" s="8"/>
      <c r="L170" s="22"/>
      <c r="M170" s="8"/>
      <c r="N170" s="13">
        <v>45352</v>
      </c>
      <c r="O170" s="9"/>
      <c r="P170" s="7" t="s">
        <v>48</v>
      </c>
      <c r="Q170" s="7" t="s">
        <v>266</v>
      </c>
      <c r="R170" s="7"/>
      <c r="S170" s="7"/>
      <c r="T170" s="7"/>
      <c r="U170" s="7"/>
    </row>
    <row r="171" spans="1:21" ht="32" customHeight="1">
      <c r="A171" s="7" t="s">
        <v>182</v>
      </c>
      <c r="B171" s="30" t="s">
        <v>1273</v>
      </c>
      <c r="C171" s="7" t="s">
        <v>23</v>
      </c>
      <c r="D171" s="7" t="s">
        <v>696</v>
      </c>
      <c r="E171" s="7"/>
      <c r="F171" s="7" t="s">
        <v>738</v>
      </c>
      <c r="G171" s="7" t="s">
        <v>737</v>
      </c>
      <c r="H171" s="7" t="s">
        <v>733</v>
      </c>
      <c r="I171" s="7" t="s">
        <v>265</v>
      </c>
      <c r="J171" s="8">
        <v>12</v>
      </c>
      <c r="K171" s="8"/>
      <c r="L171" s="22"/>
      <c r="M171" s="8"/>
      <c r="N171" s="13">
        <v>45359</v>
      </c>
      <c r="O171" s="9"/>
      <c r="P171" s="7" t="s">
        <v>48</v>
      </c>
      <c r="Q171" s="7" t="s">
        <v>266</v>
      </c>
      <c r="R171" s="7"/>
      <c r="S171" s="7"/>
      <c r="T171" s="7"/>
      <c r="U171" s="7"/>
    </row>
    <row r="172" spans="1:21" ht="32" customHeight="1">
      <c r="A172" s="7" t="s">
        <v>182</v>
      </c>
      <c r="B172" s="30" t="s">
        <v>71</v>
      </c>
      <c r="C172" s="7" t="s">
        <v>23</v>
      </c>
      <c r="D172" s="7" t="s">
        <v>696</v>
      </c>
      <c r="E172" s="7"/>
      <c r="F172" s="7" t="s">
        <v>739</v>
      </c>
      <c r="G172" s="7" t="s">
        <v>740</v>
      </c>
      <c r="H172" s="7" t="s">
        <v>741</v>
      </c>
      <c r="I172" s="7" t="s">
        <v>265</v>
      </c>
      <c r="J172" s="8">
        <v>10</v>
      </c>
      <c r="K172" s="8"/>
      <c r="L172" s="22"/>
      <c r="M172" s="8"/>
      <c r="N172" s="13">
        <v>45380</v>
      </c>
      <c r="O172" s="9"/>
      <c r="P172" s="7" t="s">
        <v>48</v>
      </c>
      <c r="Q172" s="7" t="s">
        <v>266</v>
      </c>
      <c r="R172" s="7"/>
      <c r="S172" s="7"/>
      <c r="T172" s="7"/>
      <c r="U172" s="7"/>
    </row>
    <row r="173" spans="1:21" ht="64" customHeight="1">
      <c r="A173" s="7" t="s">
        <v>182</v>
      </c>
      <c r="B173" s="30" t="s">
        <v>71</v>
      </c>
      <c r="C173" s="7" t="s">
        <v>23</v>
      </c>
      <c r="D173" s="7" t="s">
        <v>742</v>
      </c>
      <c r="E173" s="7"/>
      <c r="F173" s="7" t="s">
        <v>743</v>
      </c>
      <c r="G173" s="7" t="s">
        <v>744</v>
      </c>
      <c r="H173" s="7" t="s">
        <v>745</v>
      </c>
      <c r="I173" s="7" t="s">
        <v>265</v>
      </c>
      <c r="J173" s="8">
        <v>4</v>
      </c>
      <c r="K173" s="8"/>
      <c r="L173" s="22"/>
      <c r="M173" s="8"/>
      <c r="N173" s="13">
        <v>45366</v>
      </c>
      <c r="O173" s="9"/>
      <c r="P173" s="7" t="s">
        <v>48</v>
      </c>
      <c r="Q173" s="7" t="s">
        <v>266</v>
      </c>
      <c r="R173" s="7"/>
      <c r="S173" s="7"/>
      <c r="T173" s="7"/>
      <c r="U173" s="7"/>
    </row>
    <row r="174" spans="1:21" ht="80" customHeight="1">
      <c r="A174" s="7" t="s">
        <v>182</v>
      </c>
      <c r="B174" s="30" t="s">
        <v>208</v>
      </c>
      <c r="C174" s="7" t="s">
        <v>23</v>
      </c>
      <c r="D174" s="7" t="s">
        <v>746</v>
      </c>
      <c r="E174" s="7"/>
      <c r="F174" s="7" t="s">
        <v>747</v>
      </c>
      <c r="G174" s="7" t="s">
        <v>748</v>
      </c>
      <c r="H174" s="7" t="s">
        <v>749</v>
      </c>
      <c r="I174" s="7" t="s">
        <v>265</v>
      </c>
      <c r="J174" s="8">
        <v>4</v>
      </c>
      <c r="K174" s="8"/>
      <c r="L174" s="22"/>
      <c r="M174" s="8"/>
      <c r="N174" s="13">
        <v>45366</v>
      </c>
      <c r="O174" s="9"/>
      <c r="P174" s="7" t="s">
        <v>48</v>
      </c>
      <c r="Q174" s="7" t="s">
        <v>266</v>
      </c>
      <c r="R174" s="7"/>
      <c r="S174" s="7"/>
      <c r="T174" s="7"/>
      <c r="U174" s="7"/>
    </row>
    <row r="175" spans="1:21" ht="48" customHeight="1">
      <c r="A175" s="7" t="s">
        <v>182</v>
      </c>
      <c r="B175" s="30" t="s">
        <v>71</v>
      </c>
      <c r="C175" s="7" t="s">
        <v>23</v>
      </c>
      <c r="D175" s="7" t="s">
        <v>750</v>
      </c>
      <c r="E175" s="7"/>
      <c r="F175" s="7" t="s">
        <v>751</v>
      </c>
      <c r="G175" s="7" t="s">
        <v>752</v>
      </c>
      <c r="H175" s="7" t="s">
        <v>753</v>
      </c>
      <c r="I175" s="7" t="s">
        <v>265</v>
      </c>
      <c r="J175" s="8">
        <v>4</v>
      </c>
      <c r="K175" s="8"/>
      <c r="L175" s="22"/>
      <c r="M175" s="8"/>
      <c r="N175" s="13">
        <v>45352</v>
      </c>
      <c r="O175" s="9"/>
      <c r="P175" s="7" t="s">
        <v>48</v>
      </c>
      <c r="Q175" s="7" t="s">
        <v>266</v>
      </c>
      <c r="R175" s="7"/>
      <c r="S175" s="7"/>
      <c r="T175" s="7"/>
      <c r="U175" s="7"/>
    </row>
    <row r="176" spans="1:21" ht="32" customHeight="1">
      <c r="A176" s="7" t="s">
        <v>182</v>
      </c>
      <c r="B176" s="30" t="s">
        <v>71</v>
      </c>
      <c r="C176" s="7" t="s">
        <v>23</v>
      </c>
      <c r="D176" s="7" t="s">
        <v>696</v>
      </c>
      <c r="E176" s="7"/>
      <c r="F176" s="7" t="s">
        <v>754</v>
      </c>
      <c r="G176" s="7" t="s">
        <v>737</v>
      </c>
      <c r="H176" s="7" t="s">
        <v>733</v>
      </c>
      <c r="I176" s="7" t="s">
        <v>265</v>
      </c>
      <c r="J176" s="8">
        <v>6</v>
      </c>
      <c r="K176" s="8"/>
      <c r="L176" s="22"/>
      <c r="M176" s="8"/>
      <c r="N176" s="13">
        <v>45380</v>
      </c>
      <c r="O176" s="9"/>
      <c r="P176" s="7" t="s">
        <v>48</v>
      </c>
      <c r="Q176" s="7" t="s">
        <v>266</v>
      </c>
      <c r="R176" s="7"/>
      <c r="S176" s="7"/>
      <c r="T176" s="7"/>
      <c r="U176" s="7"/>
    </row>
    <row r="177" spans="1:21" ht="32" customHeight="1">
      <c r="A177" s="7" t="s">
        <v>182</v>
      </c>
      <c r="B177" s="30" t="s">
        <v>71</v>
      </c>
      <c r="C177" s="7" t="s">
        <v>23</v>
      </c>
      <c r="D177" s="7" t="s">
        <v>696</v>
      </c>
      <c r="E177" s="7"/>
      <c r="F177" s="7" t="s">
        <v>755</v>
      </c>
      <c r="G177" s="7" t="s">
        <v>756</v>
      </c>
      <c r="H177" s="7" t="s">
        <v>733</v>
      </c>
      <c r="I177" s="7" t="s">
        <v>265</v>
      </c>
      <c r="J177" s="8">
        <v>3</v>
      </c>
      <c r="K177" s="8"/>
      <c r="L177" s="22"/>
      <c r="M177" s="8"/>
      <c r="N177" s="13">
        <v>45387</v>
      </c>
      <c r="O177" s="9"/>
      <c r="P177" s="7" t="s">
        <v>48</v>
      </c>
      <c r="Q177" s="7" t="s">
        <v>266</v>
      </c>
      <c r="R177" s="7"/>
      <c r="S177" s="7"/>
      <c r="T177" s="7"/>
      <c r="U177" s="7"/>
    </row>
    <row r="178" spans="1:21" ht="32" customHeight="1">
      <c r="A178" s="7" t="s">
        <v>182</v>
      </c>
      <c r="B178" s="30" t="s">
        <v>71</v>
      </c>
      <c r="C178" s="7" t="s">
        <v>23</v>
      </c>
      <c r="D178" s="7" t="s">
        <v>261</v>
      </c>
      <c r="E178" s="7"/>
      <c r="F178" s="7" t="s">
        <v>757</v>
      </c>
      <c r="G178" s="7" t="s">
        <v>756</v>
      </c>
      <c r="H178" s="7" t="s">
        <v>733</v>
      </c>
      <c r="I178" s="7" t="s">
        <v>265</v>
      </c>
      <c r="J178" s="8">
        <v>10</v>
      </c>
      <c r="K178" s="8"/>
      <c r="L178" s="22"/>
      <c r="M178" s="8"/>
      <c r="N178" s="13">
        <v>45394</v>
      </c>
      <c r="O178" s="9"/>
      <c r="P178" s="7" t="s">
        <v>48</v>
      </c>
      <c r="Q178" s="7" t="s">
        <v>266</v>
      </c>
      <c r="R178" s="7"/>
      <c r="S178" s="7"/>
      <c r="T178" s="7"/>
      <c r="U178" s="7"/>
    </row>
    <row r="179" spans="1:21" ht="64" customHeight="1">
      <c r="A179" s="7" t="s">
        <v>182</v>
      </c>
      <c r="B179" s="30" t="s">
        <v>1273</v>
      </c>
      <c r="C179" s="7" t="s">
        <v>23</v>
      </c>
      <c r="D179" s="7" t="s">
        <v>700</v>
      </c>
      <c r="E179" s="7"/>
      <c r="F179" s="7" t="s">
        <v>758</v>
      </c>
      <c r="G179" s="7" t="s">
        <v>759</v>
      </c>
      <c r="H179" s="7" t="s">
        <v>760</v>
      </c>
      <c r="I179" s="7" t="s">
        <v>265</v>
      </c>
      <c r="J179" s="8">
        <v>4</v>
      </c>
      <c r="K179" s="8"/>
      <c r="L179" s="22"/>
      <c r="M179" s="8"/>
      <c r="N179" s="13">
        <v>45380</v>
      </c>
      <c r="O179" s="9"/>
      <c r="P179" s="7" t="s">
        <v>48</v>
      </c>
      <c r="Q179" s="7" t="s">
        <v>266</v>
      </c>
      <c r="R179" s="7"/>
      <c r="S179" s="7"/>
      <c r="T179" s="7"/>
      <c r="U179" s="7"/>
    </row>
    <row r="180" spans="1:21" ht="64" customHeight="1">
      <c r="A180" s="7" t="s">
        <v>182</v>
      </c>
      <c r="B180" s="30" t="s">
        <v>1273</v>
      </c>
      <c r="C180" s="7" t="s">
        <v>23</v>
      </c>
      <c r="D180" s="7" t="s">
        <v>761</v>
      </c>
      <c r="E180" s="7"/>
      <c r="F180" s="7" t="s">
        <v>762</v>
      </c>
      <c r="G180" s="7" t="s">
        <v>759</v>
      </c>
      <c r="H180" s="7" t="s">
        <v>760</v>
      </c>
      <c r="I180" s="7" t="s">
        <v>265</v>
      </c>
      <c r="J180" s="8">
        <v>13</v>
      </c>
      <c r="K180" s="8"/>
      <c r="L180" s="22"/>
      <c r="M180" s="8"/>
      <c r="N180" s="13">
        <v>45387</v>
      </c>
      <c r="O180" s="9"/>
      <c r="P180" s="7" t="s">
        <v>48</v>
      </c>
      <c r="Q180" s="7" t="s">
        <v>266</v>
      </c>
      <c r="R180" s="7"/>
      <c r="S180" s="7"/>
      <c r="T180" s="7"/>
      <c r="U180" s="7"/>
    </row>
    <row r="181" spans="1:21" ht="48" customHeight="1">
      <c r="A181" s="7" t="s">
        <v>182</v>
      </c>
      <c r="B181" s="30" t="s">
        <v>1273</v>
      </c>
      <c r="C181" s="7" t="s">
        <v>23</v>
      </c>
      <c r="D181" s="7" t="s">
        <v>763</v>
      </c>
      <c r="E181" s="7"/>
      <c r="F181" s="7" t="s">
        <v>764</v>
      </c>
      <c r="G181" s="7" t="s">
        <v>765</v>
      </c>
      <c r="H181" s="7" t="s">
        <v>766</v>
      </c>
      <c r="I181" s="7" t="s">
        <v>265</v>
      </c>
      <c r="J181" s="8">
        <v>6</v>
      </c>
      <c r="K181" s="8"/>
      <c r="L181" s="22"/>
      <c r="M181" s="8"/>
      <c r="N181" s="13">
        <v>45387</v>
      </c>
      <c r="O181" s="9"/>
      <c r="P181" s="7" t="s">
        <v>48</v>
      </c>
      <c r="Q181" s="7" t="s">
        <v>266</v>
      </c>
      <c r="R181" s="7"/>
      <c r="S181" s="7"/>
      <c r="T181" s="7"/>
      <c r="U181" s="7"/>
    </row>
    <row r="182" spans="1:21" ht="64" customHeight="1">
      <c r="A182" s="7" t="s">
        <v>182</v>
      </c>
      <c r="B182" s="30" t="s">
        <v>155</v>
      </c>
      <c r="C182" s="7" t="s">
        <v>23</v>
      </c>
      <c r="D182" s="7" t="s">
        <v>261</v>
      </c>
      <c r="E182" s="7"/>
      <c r="F182" s="7" t="s">
        <v>767</v>
      </c>
      <c r="G182" s="7" t="s">
        <v>768</v>
      </c>
      <c r="H182" s="7" t="s">
        <v>769</v>
      </c>
      <c r="I182" s="7" t="s">
        <v>265</v>
      </c>
      <c r="J182" s="8">
        <v>2</v>
      </c>
      <c r="K182" s="8">
        <v>744</v>
      </c>
      <c r="L182" s="24">
        <f>WorkmanshipResultsTable[[#This Row],[Number of Failed Units]]/WorkmanshipResultsTable[[#This Row],[Total Units Built]]</f>
        <v>2.6881720430107529E-3</v>
      </c>
      <c r="M182" s="8" t="s">
        <v>770</v>
      </c>
      <c r="N182" s="13">
        <v>45420</v>
      </c>
      <c r="O182" s="29" t="s">
        <v>195</v>
      </c>
      <c r="P182" s="9" t="s">
        <v>205</v>
      </c>
      <c r="Q182" s="7" t="s">
        <v>771</v>
      </c>
      <c r="R182" s="7"/>
      <c r="S182" s="7"/>
      <c r="T182" s="7"/>
      <c r="U182" s="7"/>
    </row>
    <row r="183" spans="1:21" ht="64" customHeight="1">
      <c r="A183" s="7" t="s">
        <v>182</v>
      </c>
      <c r="B183" s="30" t="s">
        <v>1273</v>
      </c>
      <c r="C183" s="7" t="s">
        <v>23</v>
      </c>
      <c r="D183" s="7" t="s">
        <v>696</v>
      </c>
      <c r="E183" s="7"/>
      <c r="F183" s="7" t="s">
        <v>772</v>
      </c>
      <c r="G183" s="7" t="s">
        <v>773</v>
      </c>
      <c r="H183" s="7" t="s">
        <v>774</v>
      </c>
      <c r="I183" s="7" t="s">
        <v>265</v>
      </c>
      <c r="J183" s="8">
        <v>10</v>
      </c>
      <c r="K183" s="8"/>
      <c r="L183" s="22"/>
      <c r="M183" s="8"/>
      <c r="N183" s="13">
        <v>45422</v>
      </c>
      <c r="O183" s="9"/>
      <c r="P183" s="7" t="s">
        <v>48</v>
      </c>
      <c r="Q183" s="7" t="s">
        <v>266</v>
      </c>
      <c r="R183" s="7"/>
      <c r="S183" s="7"/>
      <c r="T183" s="7"/>
      <c r="U183" s="7"/>
    </row>
    <row r="184" spans="1:21" ht="64" customHeight="1">
      <c r="A184" s="7" t="s">
        <v>182</v>
      </c>
      <c r="B184" s="30" t="s">
        <v>1273</v>
      </c>
      <c r="C184" s="7" t="s">
        <v>23</v>
      </c>
      <c r="D184" s="7" t="s">
        <v>700</v>
      </c>
      <c r="E184" s="7"/>
      <c r="F184" s="7" t="s">
        <v>775</v>
      </c>
      <c r="G184" s="7" t="s">
        <v>759</v>
      </c>
      <c r="H184" s="7" t="s">
        <v>760</v>
      </c>
      <c r="I184" s="7" t="s">
        <v>265</v>
      </c>
      <c r="J184" s="8">
        <v>9</v>
      </c>
      <c r="K184" s="8"/>
      <c r="L184" s="22"/>
      <c r="M184" s="8"/>
      <c r="N184" s="13">
        <v>45394</v>
      </c>
      <c r="O184" s="9"/>
      <c r="P184" s="7" t="s">
        <v>48</v>
      </c>
      <c r="Q184" s="7" t="s">
        <v>266</v>
      </c>
      <c r="R184" s="7"/>
      <c r="S184" s="7"/>
      <c r="T184" s="7"/>
      <c r="U184" s="7"/>
    </row>
    <row r="185" spans="1:21" ht="48" customHeight="1">
      <c r="A185" s="7" t="s">
        <v>182</v>
      </c>
      <c r="B185" s="30" t="s">
        <v>1273</v>
      </c>
      <c r="C185" s="7" t="s">
        <v>23</v>
      </c>
      <c r="D185" s="7" t="s">
        <v>318</v>
      </c>
      <c r="E185" s="7"/>
      <c r="F185" s="7" t="s">
        <v>776</v>
      </c>
      <c r="G185" s="7" t="s">
        <v>777</v>
      </c>
      <c r="H185" s="7" t="s">
        <v>778</v>
      </c>
      <c r="I185" s="7" t="s">
        <v>265</v>
      </c>
      <c r="J185" s="8"/>
      <c r="K185" s="8"/>
      <c r="L185" s="22"/>
      <c r="M185" s="8"/>
      <c r="N185" s="13">
        <v>45415</v>
      </c>
      <c r="O185" s="9"/>
      <c r="P185" s="7" t="s">
        <v>48</v>
      </c>
      <c r="Q185" s="7" t="s">
        <v>266</v>
      </c>
      <c r="R185" s="7"/>
      <c r="S185" s="7"/>
      <c r="T185" s="7"/>
      <c r="U185" s="7"/>
    </row>
    <row r="186" spans="1:21" ht="48" customHeight="1">
      <c r="A186" s="7" t="s">
        <v>182</v>
      </c>
      <c r="B186" s="30" t="s">
        <v>1273</v>
      </c>
      <c r="C186" s="7" t="s">
        <v>23</v>
      </c>
      <c r="D186" s="7" t="s">
        <v>356</v>
      </c>
      <c r="E186" s="7"/>
      <c r="F186" s="7" t="s">
        <v>779</v>
      </c>
      <c r="G186" s="7" t="s">
        <v>777</v>
      </c>
      <c r="H186" s="7" t="s">
        <v>778</v>
      </c>
      <c r="I186" s="7" t="s">
        <v>265</v>
      </c>
      <c r="J186" s="8">
        <v>7</v>
      </c>
      <c r="K186" s="8"/>
      <c r="L186" s="22"/>
      <c r="M186" s="8"/>
      <c r="N186" s="13">
        <v>45415</v>
      </c>
      <c r="O186" s="9"/>
      <c r="P186" s="7" t="s">
        <v>48</v>
      </c>
      <c r="Q186" s="7" t="s">
        <v>266</v>
      </c>
      <c r="R186" s="7"/>
      <c r="S186" s="7"/>
      <c r="T186" s="7"/>
      <c r="U186" s="7"/>
    </row>
    <row r="187" spans="1:21" ht="80" customHeight="1">
      <c r="A187" s="7" t="s">
        <v>182</v>
      </c>
      <c r="B187" s="30" t="s">
        <v>225</v>
      </c>
      <c r="C187" s="7" t="s">
        <v>23</v>
      </c>
      <c r="D187" s="7" t="s">
        <v>780</v>
      </c>
      <c r="E187" s="7"/>
      <c r="F187" s="7" t="s">
        <v>781</v>
      </c>
      <c r="G187" s="7" t="s">
        <v>720</v>
      </c>
      <c r="H187" s="7" t="s">
        <v>264</v>
      </c>
      <c r="I187" s="7" t="s">
        <v>265</v>
      </c>
      <c r="J187" s="8">
        <v>6</v>
      </c>
      <c r="K187" s="8"/>
      <c r="L187" s="22"/>
      <c r="M187" s="8"/>
      <c r="N187" s="13">
        <v>45415</v>
      </c>
      <c r="O187" s="9"/>
      <c r="P187" s="7" t="s">
        <v>48</v>
      </c>
      <c r="Q187" s="7" t="s">
        <v>266</v>
      </c>
      <c r="R187" s="7"/>
      <c r="S187" s="7"/>
      <c r="T187" s="7"/>
      <c r="U187" s="7"/>
    </row>
    <row r="188" spans="1:21" ht="64" customHeight="1">
      <c r="A188" s="7" t="s">
        <v>182</v>
      </c>
      <c r="B188" s="30" t="s">
        <v>1273</v>
      </c>
      <c r="C188" s="7" t="s">
        <v>23</v>
      </c>
      <c r="D188" s="7" t="s">
        <v>782</v>
      </c>
      <c r="E188" s="7"/>
      <c r="F188" s="7" t="s">
        <v>783</v>
      </c>
      <c r="G188" s="7" t="s">
        <v>784</v>
      </c>
      <c r="H188" s="7" t="s">
        <v>785</v>
      </c>
      <c r="I188" s="7" t="s">
        <v>265</v>
      </c>
      <c r="J188" s="8">
        <v>4</v>
      </c>
      <c r="K188" s="8"/>
      <c r="L188" s="22"/>
      <c r="M188" s="8"/>
      <c r="N188" s="13">
        <v>45415</v>
      </c>
      <c r="O188" s="9"/>
      <c r="P188" s="7" t="s">
        <v>48</v>
      </c>
      <c r="Q188" s="7" t="s">
        <v>266</v>
      </c>
      <c r="R188" s="7"/>
      <c r="S188" s="7"/>
      <c r="T188" s="7"/>
      <c r="U188" s="7"/>
    </row>
    <row r="189" spans="1:21" ht="64" customHeight="1">
      <c r="A189" s="7" t="s">
        <v>182</v>
      </c>
      <c r="B189" s="30" t="s">
        <v>225</v>
      </c>
      <c r="C189" s="7" t="s">
        <v>23</v>
      </c>
      <c r="D189" s="7" t="s">
        <v>261</v>
      </c>
      <c r="E189" s="7"/>
      <c r="F189" s="7" t="s">
        <v>786</v>
      </c>
      <c r="G189" s="7" t="s">
        <v>787</v>
      </c>
      <c r="H189" s="7" t="s">
        <v>788</v>
      </c>
      <c r="I189" s="7" t="s">
        <v>265</v>
      </c>
      <c r="J189" s="8">
        <v>1</v>
      </c>
      <c r="K189" s="8">
        <v>524</v>
      </c>
      <c r="L189" s="24">
        <f>WorkmanshipResultsTable[[#This Row],[Number of Failed Units]]/WorkmanshipResultsTable[[#This Row],[Total Units Built]]</f>
        <v>1.9083969465648854E-3</v>
      </c>
      <c r="M189" s="8" t="s">
        <v>789</v>
      </c>
      <c r="N189" s="13">
        <v>45461</v>
      </c>
      <c r="O189" s="9" t="s">
        <v>195</v>
      </c>
      <c r="P189" s="9" t="s">
        <v>205</v>
      </c>
      <c r="Q189" s="7" t="s">
        <v>771</v>
      </c>
      <c r="R189" s="7"/>
      <c r="S189" s="7"/>
      <c r="T189" s="7"/>
      <c r="U189" s="7"/>
    </row>
    <row r="190" spans="1:21" ht="64" customHeight="1">
      <c r="A190" s="7" t="s">
        <v>182</v>
      </c>
      <c r="B190" s="30" t="s">
        <v>1273</v>
      </c>
      <c r="C190" s="7" t="s">
        <v>23</v>
      </c>
      <c r="D190" s="7" t="s">
        <v>700</v>
      </c>
      <c r="E190" s="7"/>
      <c r="F190" s="7" t="s">
        <v>790</v>
      </c>
      <c r="G190" s="7" t="s">
        <v>791</v>
      </c>
      <c r="H190" s="7" t="s">
        <v>792</v>
      </c>
      <c r="I190" s="7" t="s">
        <v>265</v>
      </c>
      <c r="J190" s="8">
        <v>6</v>
      </c>
      <c r="K190" s="8"/>
      <c r="L190" s="22"/>
      <c r="M190" s="8"/>
      <c r="N190" s="13">
        <v>45422</v>
      </c>
      <c r="O190" s="9"/>
      <c r="P190" s="7" t="s">
        <v>48</v>
      </c>
      <c r="Q190" s="7" t="s">
        <v>266</v>
      </c>
      <c r="R190" s="7"/>
      <c r="S190" s="7"/>
      <c r="T190" s="7"/>
      <c r="U190" s="7"/>
    </row>
    <row r="191" spans="1:21" ht="32" customHeight="1">
      <c r="A191" s="7" t="s">
        <v>182</v>
      </c>
      <c r="B191" s="30" t="s">
        <v>71</v>
      </c>
      <c r="C191" s="7" t="s">
        <v>23</v>
      </c>
      <c r="D191" s="7" t="s">
        <v>700</v>
      </c>
      <c r="E191" s="7"/>
      <c r="F191" s="7" t="s">
        <v>793</v>
      </c>
      <c r="G191" s="7" t="s">
        <v>794</v>
      </c>
      <c r="H191" s="7" t="s">
        <v>795</v>
      </c>
      <c r="I191" s="7" t="s">
        <v>265</v>
      </c>
      <c r="J191" s="8">
        <v>3</v>
      </c>
      <c r="K191" s="8"/>
      <c r="L191" s="22"/>
      <c r="M191" s="8"/>
      <c r="N191" s="13">
        <v>45422</v>
      </c>
      <c r="O191" s="9"/>
      <c r="P191" s="7" t="s">
        <v>48</v>
      </c>
      <c r="Q191" s="7" t="s">
        <v>266</v>
      </c>
      <c r="R191" s="7"/>
      <c r="S191" s="7"/>
      <c r="T191" s="7"/>
      <c r="U191" s="7"/>
    </row>
    <row r="192" spans="1:21" ht="48" customHeight="1">
      <c r="A192" s="7" t="s">
        <v>182</v>
      </c>
      <c r="B192" s="30" t="s">
        <v>1273</v>
      </c>
      <c r="C192" s="7" t="s">
        <v>23</v>
      </c>
      <c r="D192" s="7" t="s">
        <v>700</v>
      </c>
      <c r="E192" s="7"/>
      <c r="F192" s="7" t="s">
        <v>796</v>
      </c>
      <c r="G192" s="7" t="s">
        <v>797</v>
      </c>
      <c r="H192" s="7" t="s">
        <v>798</v>
      </c>
      <c r="I192" s="7" t="s">
        <v>265</v>
      </c>
      <c r="J192" s="8">
        <v>8</v>
      </c>
      <c r="K192" s="8"/>
      <c r="L192" s="22"/>
      <c r="M192" s="8"/>
      <c r="N192" s="13">
        <v>45429</v>
      </c>
      <c r="O192" s="9"/>
      <c r="P192" s="7" t="s">
        <v>48</v>
      </c>
      <c r="Q192" s="7" t="s">
        <v>266</v>
      </c>
      <c r="R192" s="7"/>
      <c r="S192" s="7"/>
      <c r="T192" s="7"/>
      <c r="U192" s="7"/>
    </row>
    <row r="193" spans="1:21" ht="64" customHeight="1">
      <c r="A193" s="7" t="s">
        <v>182</v>
      </c>
      <c r="B193" s="30" t="s">
        <v>1273</v>
      </c>
      <c r="C193" s="7" t="s">
        <v>23</v>
      </c>
      <c r="D193" s="7" t="s">
        <v>700</v>
      </c>
      <c r="E193" s="7"/>
      <c r="F193" s="7" t="s">
        <v>799</v>
      </c>
      <c r="G193" s="7" t="s">
        <v>791</v>
      </c>
      <c r="H193" s="7" t="s">
        <v>792</v>
      </c>
      <c r="I193" s="7" t="s">
        <v>265</v>
      </c>
      <c r="J193" s="8">
        <v>6</v>
      </c>
      <c r="K193" s="8"/>
      <c r="L193" s="22"/>
      <c r="M193" s="8"/>
      <c r="N193" s="13">
        <v>45429</v>
      </c>
      <c r="O193" s="9"/>
      <c r="P193" s="7" t="s">
        <v>48</v>
      </c>
      <c r="Q193" s="7" t="s">
        <v>266</v>
      </c>
      <c r="R193" s="7"/>
      <c r="S193" s="7"/>
      <c r="T193" s="7"/>
      <c r="U193" s="7"/>
    </row>
    <row r="194" spans="1:21" ht="46" customHeight="1">
      <c r="A194" s="7" t="s">
        <v>182</v>
      </c>
      <c r="B194" s="30" t="s">
        <v>1273</v>
      </c>
      <c r="C194" s="7" t="s">
        <v>23</v>
      </c>
      <c r="D194" s="7" t="s">
        <v>800</v>
      </c>
      <c r="E194" s="7"/>
      <c r="F194" s="7" t="s">
        <v>801</v>
      </c>
      <c r="G194" s="7" t="s">
        <v>802</v>
      </c>
      <c r="H194" s="7" t="s">
        <v>778</v>
      </c>
      <c r="I194" s="7" t="s">
        <v>265</v>
      </c>
      <c r="J194" s="8">
        <v>7</v>
      </c>
      <c r="K194" s="8"/>
      <c r="L194" s="22"/>
      <c r="M194" s="8"/>
      <c r="N194" s="13">
        <v>45443</v>
      </c>
      <c r="O194" s="9"/>
      <c r="P194" s="7" t="s">
        <v>48</v>
      </c>
      <c r="Q194" s="7" t="s">
        <v>266</v>
      </c>
      <c r="R194" s="7"/>
      <c r="S194" s="7"/>
      <c r="T194" s="7"/>
      <c r="U194" s="7"/>
    </row>
    <row r="195" spans="1:21" ht="80" customHeight="1">
      <c r="A195" s="7" t="s">
        <v>182</v>
      </c>
      <c r="B195" s="30" t="s">
        <v>71</v>
      </c>
      <c r="C195" s="7" t="s">
        <v>23</v>
      </c>
      <c r="D195" s="7" t="s">
        <v>803</v>
      </c>
      <c r="E195" s="7"/>
      <c r="F195" s="7" t="s">
        <v>804</v>
      </c>
      <c r="G195" s="7" t="s">
        <v>805</v>
      </c>
      <c r="H195" s="7" t="s">
        <v>806</v>
      </c>
      <c r="I195" s="7" t="s">
        <v>265</v>
      </c>
      <c r="J195" s="8">
        <v>12</v>
      </c>
      <c r="K195" s="8"/>
      <c r="L195" s="22"/>
      <c r="M195" s="8"/>
      <c r="N195" s="13">
        <v>45471</v>
      </c>
      <c r="O195" s="9"/>
      <c r="P195" s="7" t="s">
        <v>48</v>
      </c>
      <c r="Q195" s="7" t="s">
        <v>266</v>
      </c>
      <c r="R195" s="7"/>
      <c r="S195" s="7"/>
      <c r="T195" s="7"/>
      <c r="U195" s="7"/>
    </row>
    <row r="196" spans="1:21" ht="32" customHeight="1">
      <c r="A196" s="7" t="s">
        <v>182</v>
      </c>
      <c r="B196" s="30" t="s">
        <v>71</v>
      </c>
      <c r="C196" s="7" t="s">
        <v>23</v>
      </c>
      <c r="D196" s="7" t="s">
        <v>700</v>
      </c>
      <c r="E196" s="7"/>
      <c r="F196" s="7" t="s">
        <v>807</v>
      </c>
      <c r="G196" s="7" t="s">
        <v>794</v>
      </c>
      <c r="H196" s="7" t="s">
        <v>795</v>
      </c>
      <c r="I196" s="7" t="s">
        <v>265</v>
      </c>
      <c r="J196" s="8">
        <v>11</v>
      </c>
      <c r="K196" s="8"/>
      <c r="L196" s="22"/>
      <c r="M196" s="8"/>
      <c r="N196" s="13">
        <v>45457</v>
      </c>
      <c r="O196" s="9"/>
      <c r="P196" s="7" t="s">
        <v>48</v>
      </c>
      <c r="Q196" s="7" t="s">
        <v>266</v>
      </c>
      <c r="R196" s="7"/>
      <c r="S196" s="7"/>
      <c r="T196" s="7"/>
      <c r="U196" s="7"/>
    </row>
    <row r="197" spans="1:21" ht="160" customHeight="1">
      <c r="A197" s="7" t="s">
        <v>182</v>
      </c>
      <c r="B197" s="30" t="s">
        <v>1273</v>
      </c>
      <c r="C197" s="7" t="s">
        <v>23</v>
      </c>
      <c r="D197" s="7" t="s">
        <v>700</v>
      </c>
      <c r="E197" s="7"/>
      <c r="F197" s="7" t="s">
        <v>808</v>
      </c>
      <c r="G197" s="7" t="s">
        <v>791</v>
      </c>
      <c r="H197" s="7" t="s">
        <v>809</v>
      </c>
      <c r="I197" s="7" t="s">
        <v>265</v>
      </c>
      <c r="J197" s="8"/>
      <c r="K197" s="8"/>
      <c r="L197" s="22"/>
      <c r="M197" s="8"/>
      <c r="N197" s="13">
        <v>45474</v>
      </c>
      <c r="O197" s="9"/>
      <c r="P197" s="7" t="s">
        <v>48</v>
      </c>
      <c r="Q197" s="7" t="s">
        <v>266</v>
      </c>
      <c r="R197" s="7"/>
      <c r="S197" s="7"/>
      <c r="T197" s="7"/>
      <c r="U197" s="7"/>
    </row>
    <row r="198" spans="1:21" ht="64" customHeight="1">
      <c r="A198" s="7" t="s">
        <v>182</v>
      </c>
      <c r="B198" s="30" t="s">
        <v>1273</v>
      </c>
      <c r="C198" s="7" t="s">
        <v>23</v>
      </c>
      <c r="D198" s="7" t="s">
        <v>800</v>
      </c>
      <c r="E198" s="7"/>
      <c r="F198" s="7" t="s">
        <v>810</v>
      </c>
      <c r="G198" s="7" t="s">
        <v>802</v>
      </c>
      <c r="H198" s="7" t="s">
        <v>811</v>
      </c>
      <c r="I198" s="7" t="s">
        <v>265</v>
      </c>
      <c r="J198" s="8"/>
      <c r="K198" s="8"/>
      <c r="L198" s="22"/>
      <c r="M198" s="8"/>
      <c r="N198" s="13">
        <v>45471</v>
      </c>
      <c r="O198" s="9"/>
      <c r="P198" s="7" t="s">
        <v>48</v>
      </c>
      <c r="Q198" s="7" t="s">
        <v>266</v>
      </c>
      <c r="R198" s="7"/>
      <c r="S198" s="7"/>
      <c r="T198" s="7"/>
      <c r="U198" s="7"/>
    </row>
    <row r="199" spans="1:21" ht="64" customHeight="1">
      <c r="A199" s="7" t="s">
        <v>182</v>
      </c>
      <c r="B199" s="30" t="s">
        <v>1273</v>
      </c>
      <c r="C199" s="7" t="s">
        <v>23</v>
      </c>
      <c r="D199" s="7" t="s">
        <v>812</v>
      </c>
      <c r="E199" s="7"/>
      <c r="F199" s="7" t="s">
        <v>813</v>
      </c>
      <c r="G199" s="7" t="s">
        <v>802</v>
      </c>
      <c r="H199" s="7" t="s">
        <v>811</v>
      </c>
      <c r="I199" s="7" t="s">
        <v>265</v>
      </c>
      <c r="J199" s="8">
        <v>13</v>
      </c>
      <c r="K199" s="8"/>
      <c r="L199" s="22"/>
      <c r="M199" s="8"/>
      <c r="N199" s="13">
        <v>45474</v>
      </c>
      <c r="O199" s="9"/>
      <c r="P199" s="7" t="s">
        <v>48</v>
      </c>
      <c r="Q199" s="7" t="s">
        <v>266</v>
      </c>
      <c r="R199" s="7"/>
      <c r="S199" s="7"/>
      <c r="T199" s="7"/>
      <c r="U199" s="7"/>
    </row>
    <row r="200" spans="1:21" ht="64" customHeight="1">
      <c r="A200" s="7" t="s">
        <v>182</v>
      </c>
      <c r="B200" s="30" t="s">
        <v>208</v>
      </c>
      <c r="C200" s="7" t="s">
        <v>23</v>
      </c>
      <c r="D200" s="7" t="s">
        <v>814</v>
      </c>
      <c r="E200" s="7"/>
      <c r="F200" s="7" t="s">
        <v>815</v>
      </c>
      <c r="G200" s="7" t="s">
        <v>816</v>
      </c>
      <c r="H200" s="7" t="s">
        <v>817</v>
      </c>
      <c r="I200" s="7" t="s">
        <v>265</v>
      </c>
      <c r="J200" s="8">
        <v>12</v>
      </c>
      <c r="K200" s="8"/>
      <c r="L200" s="22"/>
      <c r="M200" s="8"/>
      <c r="N200" s="13">
        <v>45474</v>
      </c>
      <c r="O200" s="9"/>
      <c r="P200" s="7" t="s">
        <v>48</v>
      </c>
      <c r="Q200" s="7" t="s">
        <v>266</v>
      </c>
      <c r="R200" s="7"/>
      <c r="S200" s="7"/>
      <c r="T200" s="7"/>
      <c r="U200" s="7"/>
    </row>
    <row r="201" spans="1:21" ht="64" customHeight="1">
      <c r="A201" s="7" t="s">
        <v>182</v>
      </c>
      <c r="B201" s="30" t="s">
        <v>71</v>
      </c>
      <c r="C201" s="7" t="s">
        <v>23</v>
      </c>
      <c r="D201" s="7" t="s">
        <v>818</v>
      </c>
      <c r="E201" s="7"/>
      <c r="F201" s="7" t="s">
        <v>819</v>
      </c>
      <c r="G201" s="7" t="s">
        <v>820</v>
      </c>
      <c r="H201" s="7" t="s">
        <v>821</v>
      </c>
      <c r="I201" s="7" t="s">
        <v>265</v>
      </c>
      <c r="J201" s="8"/>
      <c r="K201" s="8"/>
      <c r="L201" s="22"/>
      <c r="M201" s="8"/>
      <c r="N201" s="13">
        <v>45478</v>
      </c>
      <c r="O201" s="9"/>
      <c r="P201" s="7" t="s">
        <v>48</v>
      </c>
      <c r="Q201" s="7" t="s">
        <v>266</v>
      </c>
      <c r="R201" s="7"/>
      <c r="S201" s="7"/>
      <c r="T201" s="7"/>
      <c r="U201" s="7"/>
    </row>
    <row r="202" spans="1:21" ht="64" customHeight="1">
      <c r="A202" s="7" t="s">
        <v>182</v>
      </c>
      <c r="B202" s="30" t="s">
        <v>225</v>
      </c>
      <c r="C202" s="7" t="s">
        <v>23</v>
      </c>
      <c r="D202" s="7" t="s">
        <v>822</v>
      </c>
      <c r="E202" s="7"/>
      <c r="F202" s="7" t="s">
        <v>823</v>
      </c>
      <c r="G202" s="7" t="s">
        <v>824</v>
      </c>
      <c r="H202" s="7" t="s">
        <v>264</v>
      </c>
      <c r="I202" s="7" t="s">
        <v>265</v>
      </c>
      <c r="J202" s="8"/>
      <c r="K202" s="8"/>
      <c r="L202" s="22"/>
      <c r="M202" s="8"/>
      <c r="N202" s="13">
        <v>45338</v>
      </c>
      <c r="O202" s="9"/>
      <c r="P202" s="7" t="s">
        <v>48</v>
      </c>
      <c r="Q202" s="7" t="s">
        <v>266</v>
      </c>
      <c r="R202" s="7"/>
      <c r="S202" s="7"/>
      <c r="T202" s="7"/>
      <c r="U202" s="7"/>
    </row>
    <row r="203" spans="1:21" ht="32" customHeight="1">
      <c r="A203" s="7" t="s">
        <v>182</v>
      </c>
      <c r="B203" s="30" t="s">
        <v>71</v>
      </c>
      <c r="C203" s="7" t="s">
        <v>23</v>
      </c>
      <c r="D203" s="7" t="s">
        <v>696</v>
      </c>
      <c r="E203" s="7"/>
      <c r="F203" s="7" t="s">
        <v>825</v>
      </c>
      <c r="G203" s="7" t="s">
        <v>826</v>
      </c>
      <c r="H203" s="7" t="s">
        <v>745</v>
      </c>
      <c r="I203" s="7" t="s">
        <v>265</v>
      </c>
      <c r="J203" s="8">
        <v>7</v>
      </c>
      <c r="K203" s="8"/>
      <c r="L203" s="22"/>
      <c r="M203" s="8"/>
      <c r="N203" s="13">
        <v>45485</v>
      </c>
      <c r="O203" s="9"/>
      <c r="P203" s="7" t="s">
        <v>48</v>
      </c>
      <c r="Q203" s="7" t="s">
        <v>266</v>
      </c>
      <c r="R203" s="7"/>
      <c r="S203" s="7"/>
      <c r="T203" s="7"/>
      <c r="U203" s="7"/>
    </row>
    <row r="204" spans="1:21" ht="48" customHeight="1">
      <c r="A204" s="7" t="s">
        <v>182</v>
      </c>
      <c r="B204" s="30" t="s">
        <v>225</v>
      </c>
      <c r="C204" s="7" t="s">
        <v>23</v>
      </c>
      <c r="D204" s="7" t="s">
        <v>696</v>
      </c>
      <c r="E204" s="7"/>
      <c r="F204" s="7" t="s">
        <v>827</v>
      </c>
      <c r="G204" s="7" t="s">
        <v>726</v>
      </c>
      <c r="H204" s="7" t="s">
        <v>717</v>
      </c>
      <c r="I204" s="7" t="s">
        <v>265</v>
      </c>
      <c r="J204" s="8"/>
      <c r="K204" s="8"/>
      <c r="L204" s="22"/>
      <c r="M204" s="8"/>
      <c r="N204" s="13">
        <v>45485</v>
      </c>
      <c r="O204" s="9"/>
      <c r="P204" s="7" t="s">
        <v>48</v>
      </c>
      <c r="Q204" s="7" t="s">
        <v>266</v>
      </c>
      <c r="R204" s="7"/>
      <c r="S204" s="7"/>
      <c r="T204" s="7"/>
      <c r="U204" s="7"/>
    </row>
    <row r="205" spans="1:21" ht="32" customHeight="1">
      <c r="A205" s="7" t="s">
        <v>182</v>
      </c>
      <c r="B205" s="30" t="s">
        <v>71</v>
      </c>
      <c r="C205" s="7" t="s">
        <v>23</v>
      </c>
      <c r="D205" s="7" t="s">
        <v>261</v>
      </c>
      <c r="E205" s="7"/>
      <c r="F205" s="7" t="s">
        <v>828</v>
      </c>
      <c r="G205" s="7" t="s">
        <v>829</v>
      </c>
      <c r="H205" s="7" t="s">
        <v>745</v>
      </c>
      <c r="I205" s="7" t="s">
        <v>265</v>
      </c>
      <c r="J205" s="8"/>
      <c r="K205" s="8"/>
      <c r="L205" s="22"/>
      <c r="M205" s="8"/>
      <c r="N205" s="13">
        <v>45485</v>
      </c>
      <c r="O205" s="9"/>
      <c r="P205" s="7" t="s">
        <v>48</v>
      </c>
      <c r="Q205" s="7" t="s">
        <v>266</v>
      </c>
      <c r="R205" s="7"/>
      <c r="S205" s="7"/>
      <c r="T205" s="7"/>
      <c r="U205" s="7"/>
    </row>
    <row r="206" spans="1:21" ht="48" customHeight="1">
      <c r="A206" s="7" t="s">
        <v>182</v>
      </c>
      <c r="B206" s="30" t="s">
        <v>71</v>
      </c>
      <c r="C206" s="7" t="s">
        <v>23</v>
      </c>
      <c r="D206" s="7" t="s">
        <v>782</v>
      </c>
      <c r="E206" s="7"/>
      <c r="F206" s="7" t="s">
        <v>830</v>
      </c>
      <c r="G206" s="7" t="s">
        <v>831</v>
      </c>
      <c r="H206" s="7" t="s">
        <v>717</v>
      </c>
      <c r="I206" s="7" t="s">
        <v>265</v>
      </c>
      <c r="J206" s="8">
        <v>3</v>
      </c>
      <c r="K206" s="8"/>
      <c r="L206" s="22"/>
      <c r="M206" s="8"/>
      <c r="N206" s="13">
        <v>45485</v>
      </c>
      <c r="O206" s="9"/>
      <c r="P206" s="7" t="s">
        <v>48</v>
      </c>
      <c r="Q206" s="7" t="s">
        <v>266</v>
      </c>
      <c r="R206" s="7"/>
      <c r="S206" s="7"/>
      <c r="T206" s="7"/>
      <c r="U206" s="7"/>
    </row>
    <row r="207" spans="1:21" ht="160" customHeight="1">
      <c r="A207" s="7" t="s">
        <v>182</v>
      </c>
      <c r="B207" s="30" t="s">
        <v>1273</v>
      </c>
      <c r="C207" s="7" t="s">
        <v>23</v>
      </c>
      <c r="D207" s="7" t="s">
        <v>700</v>
      </c>
      <c r="E207" s="7"/>
      <c r="F207" s="7" t="s">
        <v>832</v>
      </c>
      <c r="G207" s="7" t="s">
        <v>791</v>
      </c>
      <c r="H207" s="7" t="s">
        <v>809</v>
      </c>
      <c r="I207" s="7" t="s">
        <v>265</v>
      </c>
      <c r="J207" s="8">
        <v>13</v>
      </c>
      <c r="K207" s="8"/>
      <c r="L207" s="22"/>
      <c r="M207" s="8"/>
      <c r="N207" s="13">
        <v>45474</v>
      </c>
      <c r="O207" s="9"/>
      <c r="P207" s="7" t="s">
        <v>48</v>
      </c>
      <c r="Q207" s="7" t="s">
        <v>266</v>
      </c>
      <c r="R207" s="7"/>
      <c r="S207" s="7"/>
      <c r="T207" s="7"/>
      <c r="U207" s="7"/>
    </row>
    <row r="208" spans="1:21" ht="48" customHeight="1">
      <c r="A208" s="7" t="s">
        <v>182</v>
      </c>
      <c r="B208" s="30" t="s">
        <v>71</v>
      </c>
      <c r="C208" s="7" t="s">
        <v>23</v>
      </c>
      <c r="D208" s="7" t="s">
        <v>833</v>
      </c>
      <c r="E208" s="7"/>
      <c r="F208" s="7" t="s">
        <v>834</v>
      </c>
      <c r="G208" s="7" t="s">
        <v>835</v>
      </c>
      <c r="H208" s="7" t="s">
        <v>836</v>
      </c>
      <c r="I208" s="7" t="s">
        <v>265</v>
      </c>
      <c r="J208" s="8">
        <v>10</v>
      </c>
      <c r="K208" s="8"/>
      <c r="L208" s="22"/>
      <c r="M208" s="8"/>
      <c r="N208" s="13">
        <v>46239</v>
      </c>
      <c r="O208" s="9"/>
      <c r="P208" s="7" t="s">
        <v>48</v>
      </c>
      <c r="Q208" s="7" t="s">
        <v>266</v>
      </c>
      <c r="R208" s="7"/>
      <c r="S208" s="7"/>
      <c r="T208" s="7"/>
      <c r="U208" s="7"/>
    </row>
    <row r="209" spans="1:21" ht="48" customHeight="1">
      <c r="A209" s="7" t="s">
        <v>182</v>
      </c>
      <c r="B209" s="30" t="s">
        <v>71</v>
      </c>
      <c r="C209" s="7" t="s">
        <v>23</v>
      </c>
      <c r="D209" s="7" t="s">
        <v>837</v>
      </c>
      <c r="E209" s="7"/>
      <c r="F209" s="7" t="s">
        <v>838</v>
      </c>
      <c r="G209" s="7" t="s">
        <v>831</v>
      </c>
      <c r="H209" s="7" t="s">
        <v>717</v>
      </c>
      <c r="I209" s="7" t="s">
        <v>265</v>
      </c>
      <c r="J209" s="8">
        <v>8</v>
      </c>
      <c r="K209" s="8"/>
      <c r="L209" s="22"/>
      <c r="M209" s="8"/>
      <c r="N209" s="13">
        <v>45506</v>
      </c>
      <c r="O209" s="9"/>
      <c r="P209" s="7" t="s">
        <v>48</v>
      </c>
      <c r="Q209" s="7" t="s">
        <v>266</v>
      </c>
      <c r="R209" s="7"/>
      <c r="S209" s="7"/>
      <c r="T209" s="7"/>
      <c r="U209" s="7"/>
    </row>
    <row r="210" spans="1:21" ht="80" customHeight="1">
      <c r="A210" s="7" t="s">
        <v>182</v>
      </c>
      <c r="B210" s="30" t="s">
        <v>71</v>
      </c>
      <c r="C210" s="7" t="s">
        <v>23</v>
      </c>
      <c r="D210" s="7" t="s">
        <v>839</v>
      </c>
      <c r="E210" s="7"/>
      <c r="F210" s="7" t="s">
        <v>840</v>
      </c>
      <c r="G210" s="7" t="s">
        <v>841</v>
      </c>
      <c r="H210" s="7" t="s">
        <v>842</v>
      </c>
      <c r="I210" s="7" t="s">
        <v>265</v>
      </c>
      <c r="J210" s="8">
        <v>7</v>
      </c>
      <c r="K210" s="8"/>
      <c r="L210" s="22"/>
      <c r="M210" s="8"/>
      <c r="N210" s="13">
        <v>45513</v>
      </c>
      <c r="O210" s="9"/>
      <c r="P210" s="7" t="s">
        <v>48</v>
      </c>
      <c r="Q210" s="7" t="s">
        <v>266</v>
      </c>
      <c r="R210" s="7"/>
      <c r="S210" s="7"/>
      <c r="T210" s="7"/>
      <c r="U210" s="7"/>
    </row>
    <row r="211" spans="1:21" ht="112" customHeight="1">
      <c r="A211" s="7" t="s">
        <v>182</v>
      </c>
      <c r="B211" s="30" t="s">
        <v>22</v>
      </c>
      <c r="C211" s="7" t="s">
        <v>23</v>
      </c>
      <c r="D211" s="7" t="s">
        <v>261</v>
      </c>
      <c r="E211" s="7"/>
      <c r="F211" s="7" t="s">
        <v>843</v>
      </c>
      <c r="G211" s="7" t="s">
        <v>844</v>
      </c>
      <c r="H211" s="7" t="s">
        <v>845</v>
      </c>
      <c r="I211" s="7" t="s">
        <v>265</v>
      </c>
      <c r="J211" s="8">
        <v>3</v>
      </c>
      <c r="K211" s="8"/>
      <c r="L211" s="22"/>
      <c r="M211" s="8"/>
      <c r="N211" s="13">
        <v>45485</v>
      </c>
      <c r="O211" s="9"/>
      <c r="P211" s="7" t="s">
        <v>48</v>
      </c>
      <c r="Q211" s="7" t="s">
        <v>266</v>
      </c>
      <c r="R211" s="7"/>
      <c r="S211" s="7"/>
      <c r="T211" s="7"/>
      <c r="U211" s="7"/>
    </row>
    <row r="212" spans="1:21" ht="64" customHeight="1">
      <c r="A212" s="7" t="s">
        <v>182</v>
      </c>
      <c r="B212" s="30" t="s">
        <v>71</v>
      </c>
      <c r="C212" s="7" t="s">
        <v>23</v>
      </c>
      <c r="D212" s="7" t="s">
        <v>696</v>
      </c>
      <c r="E212" s="7"/>
      <c r="F212" s="7" t="s">
        <v>846</v>
      </c>
      <c r="G212" s="7" t="s">
        <v>847</v>
      </c>
      <c r="H212" s="7" t="s">
        <v>848</v>
      </c>
      <c r="I212" s="7" t="s">
        <v>265</v>
      </c>
      <c r="J212" s="8">
        <v>13</v>
      </c>
      <c r="K212" s="8"/>
      <c r="L212" s="22"/>
      <c r="M212" s="8"/>
      <c r="N212" s="13">
        <v>45513</v>
      </c>
      <c r="O212" s="9"/>
      <c r="P212" s="7" t="s">
        <v>48</v>
      </c>
      <c r="Q212" s="7" t="s">
        <v>266</v>
      </c>
      <c r="R212" s="7"/>
      <c r="S212" s="7"/>
      <c r="T212" s="7"/>
      <c r="U212" s="7"/>
    </row>
    <row r="213" spans="1:21" ht="160" customHeight="1">
      <c r="A213" s="7" t="s">
        <v>182</v>
      </c>
      <c r="B213" s="30" t="s">
        <v>1273</v>
      </c>
      <c r="C213" s="7" t="s">
        <v>23</v>
      </c>
      <c r="D213" s="7" t="s">
        <v>761</v>
      </c>
      <c r="E213" s="7"/>
      <c r="F213" s="7" t="s">
        <v>849</v>
      </c>
      <c r="G213" s="7" t="s">
        <v>791</v>
      </c>
      <c r="H213" s="7" t="s">
        <v>809</v>
      </c>
      <c r="I213" s="7" t="s">
        <v>265</v>
      </c>
      <c r="J213" s="8">
        <v>4</v>
      </c>
      <c r="K213" s="8"/>
      <c r="L213" s="22"/>
      <c r="M213" s="8"/>
      <c r="N213" s="13">
        <v>45513</v>
      </c>
      <c r="O213" s="9"/>
      <c r="P213" s="7" t="s">
        <v>48</v>
      </c>
      <c r="Q213" s="7" t="s">
        <v>266</v>
      </c>
      <c r="R213" s="7"/>
      <c r="S213" s="7"/>
      <c r="T213" s="7"/>
      <c r="U213" s="7"/>
    </row>
    <row r="214" spans="1:21" ht="144" customHeight="1">
      <c r="A214" s="7" t="s">
        <v>182</v>
      </c>
      <c r="B214" s="30" t="s">
        <v>1273</v>
      </c>
      <c r="C214" s="7" t="s">
        <v>23</v>
      </c>
      <c r="D214" s="7" t="s">
        <v>700</v>
      </c>
      <c r="E214" s="7"/>
      <c r="F214" s="7" t="s">
        <v>850</v>
      </c>
      <c r="G214" s="7" t="s">
        <v>791</v>
      </c>
      <c r="H214" s="7" t="s">
        <v>851</v>
      </c>
      <c r="I214" s="7" t="s">
        <v>265</v>
      </c>
      <c r="J214" s="8">
        <v>4</v>
      </c>
      <c r="K214" s="8"/>
      <c r="L214" s="22"/>
      <c r="M214" s="8"/>
      <c r="N214" s="13">
        <v>45534</v>
      </c>
      <c r="O214" s="9"/>
      <c r="P214" s="7" t="s">
        <v>48</v>
      </c>
      <c r="Q214" s="7" t="s">
        <v>266</v>
      </c>
      <c r="R214" s="7"/>
      <c r="S214" s="7"/>
      <c r="T214" s="7"/>
      <c r="U214" s="7"/>
    </row>
    <row r="215" spans="1:21" ht="32" customHeight="1">
      <c r="A215" s="7" t="s">
        <v>182</v>
      </c>
      <c r="B215" s="30" t="s">
        <v>98</v>
      </c>
      <c r="C215" s="7" t="s">
        <v>23</v>
      </c>
      <c r="D215" s="7" t="s">
        <v>696</v>
      </c>
      <c r="E215" s="7"/>
      <c r="F215" s="7" t="s">
        <v>852</v>
      </c>
      <c r="G215" s="7" t="s">
        <v>853</v>
      </c>
      <c r="H215" s="7" t="s">
        <v>854</v>
      </c>
      <c r="I215" s="7" t="s">
        <v>265</v>
      </c>
      <c r="J215" s="8">
        <v>3</v>
      </c>
      <c r="K215" s="8"/>
      <c r="L215" s="22"/>
      <c r="M215" s="8"/>
      <c r="N215" s="13">
        <v>45534</v>
      </c>
      <c r="O215" s="9"/>
      <c r="P215" s="7" t="s">
        <v>48</v>
      </c>
      <c r="Q215" s="7" t="s">
        <v>266</v>
      </c>
      <c r="R215" s="7"/>
      <c r="S215" s="7"/>
      <c r="T215" s="7"/>
      <c r="U215" s="7"/>
    </row>
    <row r="216" spans="1:21" ht="48" customHeight="1">
      <c r="A216" s="7" t="s">
        <v>182</v>
      </c>
      <c r="B216" s="30" t="s">
        <v>225</v>
      </c>
      <c r="C216" s="7" t="s">
        <v>23</v>
      </c>
      <c r="D216" s="7" t="s">
        <v>855</v>
      </c>
      <c r="E216" s="7"/>
      <c r="F216" s="7" t="s">
        <v>856</v>
      </c>
      <c r="G216" s="7" t="s">
        <v>857</v>
      </c>
      <c r="H216" s="7" t="s">
        <v>264</v>
      </c>
      <c r="I216" s="7" t="s">
        <v>265</v>
      </c>
      <c r="J216" s="8"/>
      <c r="K216" s="8"/>
      <c r="L216" s="22"/>
      <c r="M216" s="8"/>
      <c r="N216" s="13">
        <v>45527</v>
      </c>
      <c r="O216" s="9"/>
      <c r="P216" s="7" t="s">
        <v>48</v>
      </c>
      <c r="Q216" s="7" t="s">
        <v>266</v>
      </c>
      <c r="R216" s="7"/>
      <c r="S216" s="7"/>
      <c r="T216" s="7"/>
      <c r="U216" s="7"/>
    </row>
    <row r="217" spans="1:21" ht="80" customHeight="1">
      <c r="A217" s="7" t="s">
        <v>182</v>
      </c>
      <c r="B217" s="30" t="s">
        <v>22</v>
      </c>
      <c r="C217" s="7" t="s">
        <v>23</v>
      </c>
      <c r="D217" s="7" t="s">
        <v>696</v>
      </c>
      <c r="E217" s="7"/>
      <c r="F217" s="7" t="s">
        <v>858</v>
      </c>
      <c r="G217" s="7" t="s">
        <v>859</v>
      </c>
      <c r="H217" s="7" t="s">
        <v>845</v>
      </c>
      <c r="I217" s="7" t="s">
        <v>265</v>
      </c>
      <c r="J217" s="8">
        <v>3</v>
      </c>
      <c r="K217" s="8"/>
      <c r="L217" s="22"/>
      <c r="M217" s="8"/>
      <c r="N217" s="13">
        <v>45534</v>
      </c>
      <c r="O217" s="9"/>
      <c r="P217" s="7" t="s">
        <v>48</v>
      </c>
      <c r="Q217" s="7" t="s">
        <v>266</v>
      </c>
      <c r="R217" s="7"/>
      <c r="S217" s="7"/>
      <c r="T217" s="7"/>
      <c r="U217" s="7"/>
    </row>
    <row r="218" spans="1:21" ht="48" customHeight="1">
      <c r="A218" s="7" t="s">
        <v>182</v>
      </c>
      <c r="B218" s="30" t="s">
        <v>71</v>
      </c>
      <c r="C218" s="7" t="s">
        <v>23</v>
      </c>
      <c r="D218" s="7" t="s">
        <v>696</v>
      </c>
      <c r="E218" s="7"/>
      <c r="F218" s="7" t="s">
        <v>860</v>
      </c>
      <c r="G218" s="7" t="s">
        <v>861</v>
      </c>
      <c r="H218" s="7" t="s">
        <v>862</v>
      </c>
      <c r="I218" s="7" t="s">
        <v>265</v>
      </c>
      <c r="J218" s="8"/>
      <c r="K218" s="8"/>
      <c r="L218" s="22"/>
      <c r="M218" s="8"/>
      <c r="N218" s="13">
        <v>45541</v>
      </c>
      <c r="O218" s="9"/>
      <c r="P218" s="7" t="s">
        <v>48</v>
      </c>
      <c r="Q218" s="7" t="s">
        <v>266</v>
      </c>
      <c r="R218" s="7"/>
      <c r="S218" s="7"/>
      <c r="T218" s="7"/>
      <c r="U218" s="7"/>
    </row>
    <row r="219" spans="1:21" ht="272" customHeight="1">
      <c r="A219" s="7" t="s">
        <v>182</v>
      </c>
      <c r="B219" s="30" t="s">
        <v>105</v>
      </c>
      <c r="C219" s="7" t="s">
        <v>23</v>
      </c>
      <c r="D219" s="7" t="s">
        <v>700</v>
      </c>
      <c r="E219" s="7"/>
      <c r="F219" s="7" t="s">
        <v>863</v>
      </c>
      <c r="G219" s="7" t="s">
        <v>864</v>
      </c>
      <c r="H219" s="7" t="s">
        <v>865</v>
      </c>
      <c r="I219" s="7" t="s">
        <v>265</v>
      </c>
      <c r="J219" s="8">
        <v>1</v>
      </c>
      <c r="K219" s="8"/>
      <c r="L219" s="22"/>
      <c r="M219" s="8"/>
      <c r="N219" s="13">
        <v>45562</v>
      </c>
      <c r="O219" s="9"/>
      <c r="P219" s="7" t="s">
        <v>48</v>
      </c>
      <c r="Q219" s="7" t="s">
        <v>266</v>
      </c>
      <c r="R219" s="7"/>
      <c r="S219" s="7"/>
      <c r="T219" s="7"/>
      <c r="U219" s="7"/>
    </row>
    <row r="220" spans="1:21" ht="48" customHeight="1">
      <c r="A220" s="7" t="s">
        <v>182</v>
      </c>
      <c r="B220" s="30" t="s">
        <v>71</v>
      </c>
      <c r="C220" s="7" t="s">
        <v>23</v>
      </c>
      <c r="D220" s="7" t="s">
        <v>800</v>
      </c>
      <c r="E220" s="7"/>
      <c r="F220" s="7" t="s">
        <v>866</v>
      </c>
      <c r="G220" s="7" t="s">
        <v>831</v>
      </c>
      <c r="H220" s="7" t="s">
        <v>717</v>
      </c>
      <c r="I220" s="7" t="s">
        <v>265</v>
      </c>
      <c r="J220" s="8"/>
      <c r="K220" s="8"/>
      <c r="L220" s="22"/>
      <c r="M220" s="8"/>
      <c r="N220" s="13">
        <v>45541</v>
      </c>
      <c r="O220" s="9"/>
      <c r="P220" s="7" t="s">
        <v>48</v>
      </c>
      <c r="Q220" s="7" t="s">
        <v>266</v>
      </c>
      <c r="R220" s="7"/>
      <c r="S220" s="7"/>
      <c r="T220" s="7"/>
      <c r="U220" s="7"/>
    </row>
    <row r="221" spans="1:21" ht="48" customHeight="1">
      <c r="A221" s="7" t="s">
        <v>182</v>
      </c>
      <c r="B221" s="30" t="s">
        <v>98</v>
      </c>
      <c r="C221" s="7" t="s">
        <v>23</v>
      </c>
      <c r="D221" s="7" t="s">
        <v>696</v>
      </c>
      <c r="E221" s="7"/>
      <c r="F221" s="7" t="s">
        <v>867</v>
      </c>
      <c r="G221" s="7" t="s">
        <v>868</v>
      </c>
      <c r="H221" s="7" t="s">
        <v>854</v>
      </c>
      <c r="I221" s="7" t="s">
        <v>265</v>
      </c>
      <c r="J221" s="8"/>
      <c r="K221" s="8"/>
      <c r="L221" s="22"/>
      <c r="M221" s="8"/>
      <c r="N221" s="13">
        <v>45541</v>
      </c>
      <c r="O221" s="9"/>
      <c r="P221" s="7" t="s">
        <v>48</v>
      </c>
      <c r="Q221" s="7" t="s">
        <v>266</v>
      </c>
      <c r="R221" s="7"/>
      <c r="S221" s="7"/>
      <c r="T221" s="7"/>
      <c r="U221" s="7"/>
    </row>
    <row r="222" spans="1:21" ht="112" customHeight="1">
      <c r="A222" s="7" t="s">
        <v>182</v>
      </c>
      <c r="B222" s="30" t="s">
        <v>71</v>
      </c>
      <c r="C222" s="7" t="s">
        <v>23</v>
      </c>
      <c r="D222" s="7" t="s">
        <v>761</v>
      </c>
      <c r="E222" s="7"/>
      <c r="F222" s="7" t="s">
        <v>869</v>
      </c>
      <c r="G222" s="7" t="s">
        <v>870</v>
      </c>
      <c r="H222" s="7" t="s">
        <v>871</v>
      </c>
      <c r="I222" s="7" t="s">
        <v>265</v>
      </c>
      <c r="J222" s="8"/>
      <c r="K222" s="8"/>
      <c r="L222" s="22"/>
      <c r="M222" s="8"/>
      <c r="N222" s="13">
        <v>45541</v>
      </c>
      <c r="O222" s="9"/>
      <c r="P222" s="7" t="s">
        <v>48</v>
      </c>
      <c r="Q222" s="7" t="s">
        <v>266</v>
      </c>
      <c r="R222" s="7"/>
      <c r="S222" s="7"/>
      <c r="T222" s="7"/>
      <c r="U222" s="7"/>
    </row>
    <row r="223" spans="1:21" ht="80" customHeight="1">
      <c r="A223" s="7" t="s">
        <v>182</v>
      </c>
      <c r="B223" s="30" t="s">
        <v>71</v>
      </c>
      <c r="C223" s="7" t="s">
        <v>23</v>
      </c>
      <c r="D223" s="7" t="s">
        <v>696</v>
      </c>
      <c r="E223" s="7"/>
      <c r="F223" s="7" t="s">
        <v>872</v>
      </c>
      <c r="G223" s="7" t="s">
        <v>820</v>
      </c>
      <c r="H223" s="7" t="s">
        <v>873</v>
      </c>
      <c r="I223" s="7" t="s">
        <v>265</v>
      </c>
      <c r="J223" s="8">
        <v>3</v>
      </c>
      <c r="K223" s="8"/>
      <c r="L223" s="22"/>
      <c r="M223" s="8"/>
      <c r="N223" s="13">
        <v>45548</v>
      </c>
      <c r="O223" s="9"/>
      <c r="P223" s="7" t="s">
        <v>48</v>
      </c>
      <c r="Q223" s="7" t="s">
        <v>266</v>
      </c>
      <c r="R223" s="7"/>
      <c r="S223" s="7"/>
      <c r="T223" s="7"/>
      <c r="U223" s="7"/>
    </row>
    <row r="224" spans="1:21" ht="48" customHeight="1">
      <c r="A224" s="7" t="s">
        <v>182</v>
      </c>
      <c r="B224" s="30" t="s">
        <v>98</v>
      </c>
      <c r="C224" s="7" t="s">
        <v>23</v>
      </c>
      <c r="D224" s="7" t="s">
        <v>696</v>
      </c>
      <c r="E224" s="7"/>
      <c r="F224" s="7" t="s">
        <v>874</v>
      </c>
      <c r="G224" s="7" t="s">
        <v>868</v>
      </c>
      <c r="H224" s="7" t="s">
        <v>875</v>
      </c>
      <c r="I224" s="7" t="s">
        <v>265</v>
      </c>
      <c r="J224" s="8">
        <v>2</v>
      </c>
      <c r="K224" s="8"/>
      <c r="L224" s="22"/>
      <c r="M224" s="8"/>
      <c r="N224" s="13">
        <v>45548</v>
      </c>
      <c r="O224" s="9"/>
      <c r="P224" s="7" t="s">
        <v>48</v>
      </c>
      <c r="Q224" s="7" t="s">
        <v>266</v>
      </c>
      <c r="R224" s="7"/>
      <c r="S224" s="7"/>
      <c r="T224" s="7"/>
      <c r="U224" s="7"/>
    </row>
    <row r="225" spans="1:21" ht="64" customHeight="1">
      <c r="A225" s="7" t="s">
        <v>182</v>
      </c>
      <c r="B225" s="30" t="s">
        <v>225</v>
      </c>
      <c r="C225" s="7" t="s">
        <v>23</v>
      </c>
      <c r="D225" s="7" t="s">
        <v>876</v>
      </c>
      <c r="E225" s="7"/>
      <c r="F225" s="7" t="s">
        <v>877</v>
      </c>
      <c r="G225" s="7" t="s">
        <v>878</v>
      </c>
      <c r="H225" s="7" t="s">
        <v>879</v>
      </c>
      <c r="I225" s="7" t="s">
        <v>265</v>
      </c>
      <c r="J225" s="8">
        <v>2</v>
      </c>
      <c r="K225" s="8"/>
      <c r="L225" s="22"/>
      <c r="M225" s="8"/>
      <c r="N225" s="13">
        <v>45548</v>
      </c>
      <c r="O225" s="9"/>
      <c r="P225" s="7" t="s">
        <v>48</v>
      </c>
      <c r="Q225" s="7" t="s">
        <v>266</v>
      </c>
      <c r="R225" s="7"/>
      <c r="S225" s="7"/>
      <c r="T225" s="7"/>
      <c r="U225" s="7"/>
    </row>
    <row r="226" spans="1:21" ht="96" customHeight="1">
      <c r="A226" s="7" t="s">
        <v>182</v>
      </c>
      <c r="B226" s="30" t="s">
        <v>22</v>
      </c>
      <c r="C226" s="7" t="s">
        <v>23</v>
      </c>
      <c r="D226" s="7" t="s">
        <v>696</v>
      </c>
      <c r="E226" s="7"/>
      <c r="F226" s="7" t="s">
        <v>880</v>
      </c>
      <c r="G226" s="7" t="s">
        <v>881</v>
      </c>
      <c r="H226" s="7" t="s">
        <v>845</v>
      </c>
      <c r="I226" s="7" t="s">
        <v>265</v>
      </c>
      <c r="J226" s="8">
        <v>2</v>
      </c>
      <c r="K226" s="8"/>
      <c r="L226" s="22"/>
      <c r="M226" s="8"/>
      <c r="N226" s="13">
        <v>45555</v>
      </c>
      <c r="O226" s="9"/>
      <c r="P226" s="7" t="s">
        <v>48</v>
      </c>
      <c r="Q226" s="7" t="s">
        <v>266</v>
      </c>
      <c r="R226" s="7"/>
      <c r="S226" s="7"/>
      <c r="T226" s="7"/>
      <c r="U226" s="7"/>
    </row>
    <row r="227" spans="1:21" ht="48" customHeight="1">
      <c r="A227" s="7" t="s">
        <v>182</v>
      </c>
      <c r="B227" s="30" t="s">
        <v>71</v>
      </c>
      <c r="C227" s="7" t="s">
        <v>23</v>
      </c>
      <c r="D227" s="7" t="s">
        <v>822</v>
      </c>
      <c r="E227" s="7"/>
      <c r="F227" s="7" t="s">
        <v>882</v>
      </c>
      <c r="G227" s="7" t="s">
        <v>820</v>
      </c>
      <c r="H227" s="7" t="s">
        <v>883</v>
      </c>
      <c r="I227" s="7" t="s">
        <v>265</v>
      </c>
      <c r="J227" s="8">
        <v>2</v>
      </c>
      <c r="K227" s="8"/>
      <c r="L227" s="22"/>
      <c r="M227" s="8"/>
      <c r="N227" s="13">
        <v>45548</v>
      </c>
      <c r="O227" s="9"/>
      <c r="P227" s="7" t="s">
        <v>48</v>
      </c>
      <c r="Q227" s="7" t="s">
        <v>266</v>
      </c>
      <c r="R227" s="7"/>
      <c r="S227" s="7"/>
      <c r="T227" s="7"/>
      <c r="U227" s="7"/>
    </row>
    <row r="228" spans="1:21" ht="96" customHeight="1">
      <c r="A228" s="7" t="s">
        <v>182</v>
      </c>
      <c r="B228" s="30" t="s">
        <v>71</v>
      </c>
      <c r="C228" s="7" t="s">
        <v>23</v>
      </c>
      <c r="D228" s="7" t="s">
        <v>700</v>
      </c>
      <c r="E228" s="7"/>
      <c r="F228" s="7" t="s">
        <v>884</v>
      </c>
      <c r="G228" s="7" t="s">
        <v>885</v>
      </c>
      <c r="H228" s="7" t="s">
        <v>886</v>
      </c>
      <c r="I228" s="7" t="s">
        <v>265</v>
      </c>
      <c r="J228" s="8">
        <v>3</v>
      </c>
      <c r="K228" s="8"/>
      <c r="L228" s="22"/>
      <c r="M228" s="8"/>
      <c r="N228" s="13">
        <v>45555</v>
      </c>
      <c r="O228" s="9"/>
      <c r="P228" s="7" t="s">
        <v>48</v>
      </c>
      <c r="Q228" s="7" t="s">
        <v>266</v>
      </c>
      <c r="R228" s="7"/>
      <c r="S228" s="7"/>
      <c r="T228" s="7"/>
      <c r="U228" s="7"/>
    </row>
    <row r="229" spans="1:21" ht="48" customHeight="1">
      <c r="A229" s="7" t="s">
        <v>182</v>
      </c>
      <c r="B229" s="30" t="s">
        <v>225</v>
      </c>
      <c r="C229" s="7" t="s">
        <v>23</v>
      </c>
      <c r="D229" s="7" t="s">
        <v>261</v>
      </c>
      <c r="E229" s="7"/>
      <c r="F229" s="7" t="s">
        <v>887</v>
      </c>
      <c r="G229" s="7" t="s">
        <v>888</v>
      </c>
      <c r="H229" s="7" t="s">
        <v>730</v>
      </c>
      <c r="I229" s="7" t="s">
        <v>265</v>
      </c>
      <c r="J229" s="8">
        <v>2</v>
      </c>
      <c r="K229" s="8"/>
      <c r="L229" s="22"/>
      <c r="M229" s="8"/>
      <c r="N229" s="13">
        <v>45555</v>
      </c>
      <c r="O229" s="9"/>
      <c r="P229" s="7" t="s">
        <v>48</v>
      </c>
      <c r="Q229" s="7" t="s">
        <v>266</v>
      </c>
      <c r="R229" s="7"/>
      <c r="S229" s="7"/>
      <c r="T229" s="7"/>
      <c r="U229" s="7"/>
    </row>
    <row r="230" spans="1:21" ht="96" customHeight="1">
      <c r="A230" s="7" t="s">
        <v>182</v>
      </c>
      <c r="B230" s="30" t="s">
        <v>71</v>
      </c>
      <c r="C230" s="7" t="s">
        <v>23</v>
      </c>
      <c r="D230" s="7" t="s">
        <v>261</v>
      </c>
      <c r="E230" s="7"/>
      <c r="F230" s="7" t="s">
        <v>889</v>
      </c>
      <c r="G230" s="7" t="s">
        <v>890</v>
      </c>
      <c r="H230" s="7" t="s">
        <v>891</v>
      </c>
      <c r="I230" s="7" t="s">
        <v>265</v>
      </c>
      <c r="J230" s="8">
        <v>1</v>
      </c>
      <c r="K230" s="8"/>
      <c r="L230" s="22"/>
      <c r="M230" s="8"/>
      <c r="N230" s="13">
        <v>45555</v>
      </c>
      <c r="O230" s="9"/>
      <c r="P230" s="7" t="s">
        <v>48</v>
      </c>
      <c r="Q230" s="7" t="s">
        <v>266</v>
      </c>
      <c r="R230" s="7"/>
      <c r="S230" s="7"/>
      <c r="T230" s="7"/>
      <c r="U230" s="7"/>
    </row>
    <row r="231" spans="1:21" ht="48" customHeight="1">
      <c r="A231" s="7" t="s">
        <v>182</v>
      </c>
      <c r="B231" s="30" t="s">
        <v>98</v>
      </c>
      <c r="C231" s="7" t="s">
        <v>23</v>
      </c>
      <c r="D231" s="7" t="s">
        <v>261</v>
      </c>
      <c r="E231" s="7"/>
      <c r="F231" s="7" t="s">
        <v>892</v>
      </c>
      <c r="G231" s="7" t="s">
        <v>868</v>
      </c>
      <c r="H231" s="7" t="s">
        <v>875</v>
      </c>
      <c r="I231" s="7" t="s">
        <v>265</v>
      </c>
      <c r="J231" s="8"/>
      <c r="K231" s="8"/>
      <c r="L231" s="22"/>
      <c r="M231" s="8"/>
      <c r="N231" s="13">
        <v>45562</v>
      </c>
      <c r="O231" s="9"/>
      <c r="P231" s="7" t="s">
        <v>48</v>
      </c>
      <c r="Q231" s="7" t="s">
        <v>266</v>
      </c>
      <c r="R231" s="7"/>
      <c r="S231" s="7"/>
      <c r="T231" s="7"/>
      <c r="U231" s="7"/>
    </row>
    <row r="232" spans="1:21" ht="176" customHeight="1">
      <c r="A232" s="7" t="s">
        <v>182</v>
      </c>
      <c r="B232" s="30" t="s">
        <v>71</v>
      </c>
      <c r="C232" s="7" t="s">
        <v>23</v>
      </c>
      <c r="D232" s="7" t="s">
        <v>893</v>
      </c>
      <c r="E232" s="7"/>
      <c r="F232" s="7" t="s">
        <v>894</v>
      </c>
      <c r="G232" s="7" t="s">
        <v>895</v>
      </c>
      <c r="H232" s="7" t="s">
        <v>896</v>
      </c>
      <c r="I232" s="7" t="s">
        <v>265</v>
      </c>
      <c r="J232" s="8"/>
      <c r="K232" s="8"/>
      <c r="L232" s="22"/>
      <c r="M232" s="8"/>
      <c r="N232" s="13">
        <v>45569</v>
      </c>
      <c r="O232" s="9"/>
      <c r="P232" s="7" t="s">
        <v>48</v>
      </c>
      <c r="Q232" s="7" t="s">
        <v>266</v>
      </c>
      <c r="R232" s="7"/>
      <c r="S232" s="7"/>
      <c r="T232" s="7"/>
      <c r="U232" s="7"/>
    </row>
    <row r="233" spans="1:21" ht="80" customHeight="1">
      <c r="A233" s="7" t="s">
        <v>182</v>
      </c>
      <c r="B233" s="30" t="s">
        <v>225</v>
      </c>
      <c r="C233" s="7" t="s">
        <v>23</v>
      </c>
      <c r="D233" s="7" t="s">
        <v>897</v>
      </c>
      <c r="E233" s="7"/>
      <c r="F233" s="7" t="s">
        <v>898</v>
      </c>
      <c r="G233" s="7" t="s">
        <v>899</v>
      </c>
      <c r="H233" s="7" t="s">
        <v>900</v>
      </c>
      <c r="I233" s="7" t="s">
        <v>559</v>
      </c>
      <c r="J233" s="8">
        <v>1</v>
      </c>
      <c r="K233" s="8">
        <v>284</v>
      </c>
      <c r="L233" s="24">
        <f>WorkmanshipResultsTable[[#This Row],[Number of Failed Units]]/WorkmanshipResultsTable[[#This Row],[Total Units Built]]</f>
        <v>3.5211267605633804E-3</v>
      </c>
      <c r="M233" s="8" t="s">
        <v>901</v>
      </c>
      <c r="N233" s="13">
        <v>45566</v>
      </c>
      <c r="O233" s="9"/>
      <c r="P233" s="9" t="s">
        <v>205</v>
      </c>
      <c r="Q233" s="7" t="s">
        <v>771</v>
      </c>
      <c r="R233" s="7"/>
      <c r="S233" s="7"/>
      <c r="T233" s="7"/>
      <c r="U233" s="7"/>
    </row>
    <row r="234" spans="1:21" ht="48" customHeight="1">
      <c r="A234" s="7" t="s">
        <v>182</v>
      </c>
      <c r="B234" s="30" t="s">
        <v>71</v>
      </c>
      <c r="C234" s="7" t="s">
        <v>23</v>
      </c>
      <c r="D234" s="7" t="s">
        <v>338</v>
      </c>
      <c r="E234" s="7"/>
      <c r="F234" s="7" t="s">
        <v>902</v>
      </c>
      <c r="G234" s="7" t="s">
        <v>903</v>
      </c>
      <c r="H234" s="7" t="s">
        <v>904</v>
      </c>
      <c r="I234" s="7" t="s">
        <v>265</v>
      </c>
      <c r="J234" s="8">
        <v>4</v>
      </c>
      <c r="K234" s="8"/>
      <c r="L234" s="22"/>
      <c r="M234" s="8"/>
      <c r="N234" s="13">
        <v>45590</v>
      </c>
      <c r="O234" s="9"/>
      <c r="P234" s="7" t="s">
        <v>48</v>
      </c>
      <c r="Q234" s="7" t="s">
        <v>266</v>
      </c>
      <c r="R234" s="7"/>
      <c r="S234" s="7"/>
      <c r="T234" s="7"/>
      <c r="U234" s="7"/>
    </row>
    <row r="235" spans="1:21" ht="256" customHeight="1">
      <c r="A235" s="7" t="s">
        <v>182</v>
      </c>
      <c r="B235" s="30" t="s">
        <v>225</v>
      </c>
      <c r="C235" s="7" t="s">
        <v>23</v>
      </c>
      <c r="D235" s="7" t="s">
        <v>905</v>
      </c>
      <c r="E235" s="7"/>
      <c r="F235" s="7" t="s">
        <v>906</v>
      </c>
      <c r="G235" s="7" t="s">
        <v>907</v>
      </c>
      <c r="H235" s="7" t="s">
        <v>908</v>
      </c>
      <c r="I235" s="7" t="s">
        <v>265</v>
      </c>
      <c r="J235" s="8">
        <v>13</v>
      </c>
      <c r="K235" s="8"/>
      <c r="L235" s="22"/>
      <c r="M235" s="8"/>
      <c r="N235" s="13">
        <v>45575</v>
      </c>
      <c r="O235" s="9"/>
      <c r="P235" s="7" t="s">
        <v>48</v>
      </c>
      <c r="Q235" s="7" t="s">
        <v>266</v>
      </c>
      <c r="R235" s="7"/>
      <c r="S235" s="7"/>
      <c r="T235" s="7"/>
      <c r="U235" s="7"/>
    </row>
    <row r="236" spans="1:21" ht="64" customHeight="1">
      <c r="A236" s="7" t="s">
        <v>182</v>
      </c>
      <c r="B236" s="30" t="s">
        <v>1273</v>
      </c>
      <c r="C236" s="7" t="s">
        <v>23</v>
      </c>
      <c r="D236" s="7" t="s">
        <v>338</v>
      </c>
      <c r="E236" s="7"/>
      <c r="F236" s="7" t="s">
        <v>909</v>
      </c>
      <c r="G236" s="7" t="s">
        <v>910</v>
      </c>
      <c r="H236" s="7" t="s">
        <v>911</v>
      </c>
      <c r="I236" s="7" t="s">
        <v>265</v>
      </c>
      <c r="J236" s="8">
        <v>5</v>
      </c>
      <c r="K236" s="8"/>
      <c r="L236" s="22"/>
      <c r="M236" s="8"/>
      <c r="N236" s="13">
        <v>45576</v>
      </c>
      <c r="O236" s="9"/>
      <c r="P236" s="7" t="s">
        <v>48</v>
      </c>
      <c r="Q236" s="7" t="s">
        <v>266</v>
      </c>
      <c r="R236" s="7"/>
      <c r="S236" s="7"/>
      <c r="T236" s="7"/>
      <c r="U236" s="7"/>
    </row>
    <row r="237" spans="1:21" ht="48" customHeight="1">
      <c r="A237" s="7" t="s">
        <v>182</v>
      </c>
      <c r="B237" s="30" t="s">
        <v>155</v>
      </c>
      <c r="C237" s="7" t="s">
        <v>23</v>
      </c>
      <c r="D237" s="7" t="s">
        <v>261</v>
      </c>
      <c r="E237" s="7"/>
      <c r="F237" s="7" t="s">
        <v>912</v>
      </c>
      <c r="G237" s="7" t="s">
        <v>913</v>
      </c>
      <c r="H237" s="7" t="s">
        <v>914</v>
      </c>
      <c r="I237" s="7" t="s">
        <v>265</v>
      </c>
      <c r="J237" s="8">
        <v>1</v>
      </c>
      <c r="K237" s="8">
        <v>432</v>
      </c>
      <c r="L237" s="24">
        <f>WorkmanshipResultsTable[[#This Row],[Number of Failed Units]]/WorkmanshipResultsTable[[#This Row],[Total Units Built]]</f>
        <v>2.3148148148148147E-3</v>
      </c>
      <c r="M237" s="8" t="s">
        <v>915</v>
      </c>
      <c r="N237" s="13">
        <v>45570</v>
      </c>
      <c r="O237" s="9" t="s">
        <v>195</v>
      </c>
      <c r="P237" s="9" t="s">
        <v>205</v>
      </c>
      <c r="Q237" s="7" t="s">
        <v>771</v>
      </c>
      <c r="R237" s="7"/>
      <c r="S237" s="7"/>
      <c r="T237" s="7"/>
      <c r="U237" s="7"/>
    </row>
    <row r="238" spans="1:21" ht="48" customHeight="1">
      <c r="A238" s="7" t="s">
        <v>182</v>
      </c>
      <c r="B238" s="30" t="s">
        <v>1273</v>
      </c>
      <c r="C238" s="7" t="s">
        <v>23</v>
      </c>
      <c r="D238" s="7" t="s">
        <v>696</v>
      </c>
      <c r="E238" s="7"/>
      <c r="F238" s="7" t="s">
        <v>916</v>
      </c>
      <c r="G238" s="7" t="s">
        <v>868</v>
      </c>
      <c r="H238" s="7" t="s">
        <v>875</v>
      </c>
      <c r="I238" s="7" t="s">
        <v>265</v>
      </c>
      <c r="J238" s="8">
        <v>4</v>
      </c>
      <c r="K238" s="8"/>
      <c r="L238" s="22"/>
      <c r="M238" s="8"/>
      <c r="N238" s="13">
        <v>45584</v>
      </c>
      <c r="O238" s="9"/>
      <c r="P238" s="7" t="s">
        <v>48</v>
      </c>
      <c r="Q238" s="7" t="s">
        <v>266</v>
      </c>
      <c r="R238" s="7"/>
      <c r="S238" s="7"/>
      <c r="T238" s="7"/>
      <c r="U238" s="7"/>
    </row>
    <row r="239" spans="1:21" ht="112" customHeight="1">
      <c r="A239" s="7" t="s">
        <v>182</v>
      </c>
      <c r="B239" s="30" t="s">
        <v>71</v>
      </c>
      <c r="C239" s="7" t="s">
        <v>23</v>
      </c>
      <c r="D239" s="7" t="s">
        <v>338</v>
      </c>
      <c r="E239" s="7"/>
      <c r="F239" s="7" t="s">
        <v>917</v>
      </c>
      <c r="G239" s="7" t="s">
        <v>918</v>
      </c>
      <c r="H239" s="7" t="s">
        <v>919</v>
      </c>
      <c r="I239" s="7" t="s">
        <v>265</v>
      </c>
      <c r="J239" s="8">
        <v>3</v>
      </c>
      <c r="K239" s="8"/>
      <c r="L239" s="22"/>
      <c r="M239" s="8"/>
      <c r="N239" s="13">
        <v>45618</v>
      </c>
      <c r="O239" s="9"/>
      <c r="P239" s="7" t="s">
        <v>48</v>
      </c>
      <c r="Q239" s="7" t="s">
        <v>266</v>
      </c>
      <c r="R239" s="7"/>
      <c r="S239" s="7"/>
      <c r="T239" s="7"/>
      <c r="U239" s="7"/>
    </row>
    <row r="240" spans="1:21" ht="48" customHeight="1">
      <c r="A240" s="7" t="s">
        <v>182</v>
      </c>
      <c r="B240" s="30" t="s">
        <v>71</v>
      </c>
      <c r="C240" s="7" t="s">
        <v>23</v>
      </c>
      <c r="D240" s="7" t="s">
        <v>803</v>
      </c>
      <c r="E240" s="7"/>
      <c r="F240" s="7" t="s">
        <v>920</v>
      </c>
      <c r="G240" s="7" t="s">
        <v>903</v>
      </c>
      <c r="H240" s="7" t="s">
        <v>785</v>
      </c>
      <c r="I240" s="7" t="s">
        <v>265</v>
      </c>
      <c r="J240" s="8">
        <v>3</v>
      </c>
      <c r="K240" s="8"/>
      <c r="L240" s="22"/>
      <c r="M240" s="8"/>
      <c r="N240" s="13">
        <v>45618</v>
      </c>
      <c r="O240" s="9"/>
      <c r="P240" s="7" t="s">
        <v>48</v>
      </c>
      <c r="Q240" s="7" t="s">
        <v>266</v>
      </c>
      <c r="R240" s="7"/>
      <c r="S240" s="7"/>
      <c r="T240" s="7"/>
      <c r="U240" s="7"/>
    </row>
    <row r="241" spans="1:21" ht="64" customHeight="1">
      <c r="A241" s="7" t="s">
        <v>182</v>
      </c>
      <c r="B241" s="30" t="s">
        <v>1273</v>
      </c>
      <c r="C241" s="7" t="s">
        <v>23</v>
      </c>
      <c r="D241" s="7" t="s">
        <v>803</v>
      </c>
      <c r="E241" s="7"/>
      <c r="F241" s="7" t="s">
        <v>921</v>
      </c>
      <c r="G241" s="7" t="s">
        <v>784</v>
      </c>
      <c r="H241" s="7" t="s">
        <v>785</v>
      </c>
      <c r="I241" s="7" t="s">
        <v>265</v>
      </c>
      <c r="J241" s="8">
        <v>3</v>
      </c>
      <c r="K241" s="8"/>
      <c r="L241" s="22"/>
      <c r="M241" s="8"/>
      <c r="N241" s="13">
        <v>45618</v>
      </c>
      <c r="O241" s="9"/>
      <c r="P241" s="7" t="s">
        <v>48</v>
      </c>
      <c r="Q241" s="7" t="s">
        <v>266</v>
      </c>
      <c r="R241" s="7"/>
      <c r="S241" s="7"/>
      <c r="T241" s="7"/>
      <c r="U241" s="7"/>
    </row>
    <row r="242" spans="1:21" ht="64" customHeight="1">
      <c r="A242" s="7" t="s">
        <v>182</v>
      </c>
      <c r="B242" s="30" t="s">
        <v>71</v>
      </c>
      <c r="C242" s="7" t="s">
        <v>23</v>
      </c>
      <c r="D242" s="7" t="s">
        <v>803</v>
      </c>
      <c r="E242" s="7"/>
      <c r="F242" s="7" t="s">
        <v>922</v>
      </c>
      <c r="G242" s="7" t="s">
        <v>923</v>
      </c>
      <c r="H242" s="7" t="s">
        <v>924</v>
      </c>
      <c r="I242" s="7" t="s">
        <v>265</v>
      </c>
      <c r="J242" s="8"/>
      <c r="K242" s="8"/>
      <c r="L242" s="22"/>
      <c r="M242" s="8"/>
      <c r="N242" s="13">
        <v>45625</v>
      </c>
      <c r="O242" s="9"/>
      <c r="P242" s="7" t="s">
        <v>48</v>
      </c>
      <c r="Q242" s="7" t="s">
        <v>266</v>
      </c>
      <c r="R242" s="7"/>
      <c r="S242" s="7"/>
      <c r="T242" s="7"/>
      <c r="U242" s="7"/>
    </row>
    <row r="243" spans="1:21" ht="48" customHeight="1">
      <c r="A243" s="7" t="s">
        <v>182</v>
      </c>
      <c r="B243" s="30" t="s">
        <v>71</v>
      </c>
      <c r="C243" s="7" t="s">
        <v>23</v>
      </c>
      <c r="D243" s="7" t="s">
        <v>803</v>
      </c>
      <c r="E243" s="7"/>
      <c r="F243" s="7" t="s">
        <v>925</v>
      </c>
      <c r="G243" s="7" t="s">
        <v>903</v>
      </c>
      <c r="H243" s="7" t="s">
        <v>785</v>
      </c>
      <c r="I243" s="7" t="s">
        <v>265</v>
      </c>
      <c r="J243" s="8"/>
      <c r="K243" s="8"/>
      <c r="L243" s="22"/>
      <c r="M243" s="8"/>
      <c r="N243" s="13">
        <v>45625</v>
      </c>
      <c r="O243" s="9"/>
      <c r="P243" s="7" t="s">
        <v>48</v>
      </c>
      <c r="Q243" s="7" t="s">
        <v>266</v>
      </c>
      <c r="R243" s="7"/>
      <c r="S243" s="7"/>
      <c r="T243" s="7"/>
      <c r="U243" s="7"/>
    </row>
    <row r="244" spans="1:21" ht="64" customHeight="1">
      <c r="A244" s="7" t="s">
        <v>182</v>
      </c>
      <c r="B244" s="30" t="s">
        <v>1273</v>
      </c>
      <c r="C244" s="7" t="s">
        <v>23</v>
      </c>
      <c r="D244" s="7" t="s">
        <v>746</v>
      </c>
      <c r="E244" s="7"/>
      <c r="F244" s="7" t="s">
        <v>926</v>
      </c>
      <c r="G244" s="7" t="s">
        <v>784</v>
      </c>
      <c r="H244" s="7" t="s">
        <v>785</v>
      </c>
      <c r="I244" s="7" t="s">
        <v>265</v>
      </c>
      <c r="J244" s="8"/>
      <c r="K244" s="8"/>
      <c r="L244" s="22"/>
      <c r="M244" s="8"/>
      <c r="N244" s="13">
        <v>45625</v>
      </c>
      <c r="O244" s="9"/>
      <c r="P244" s="7" t="s">
        <v>48</v>
      </c>
      <c r="Q244" s="7" t="s">
        <v>266</v>
      </c>
      <c r="R244" s="7"/>
      <c r="S244" s="7"/>
      <c r="T244" s="7"/>
      <c r="U244" s="7"/>
    </row>
    <row r="245" spans="1:21" ht="80" customHeight="1">
      <c r="A245" s="7" t="s">
        <v>182</v>
      </c>
      <c r="B245" s="30" t="s">
        <v>225</v>
      </c>
      <c r="C245" s="7" t="s">
        <v>23</v>
      </c>
      <c r="D245" s="7" t="s">
        <v>855</v>
      </c>
      <c r="E245" s="7"/>
      <c r="F245" s="7" t="s">
        <v>927</v>
      </c>
      <c r="G245" s="7" t="s">
        <v>720</v>
      </c>
      <c r="H245" s="7" t="s">
        <v>264</v>
      </c>
      <c r="I245" s="7" t="s">
        <v>265</v>
      </c>
      <c r="J245" s="8">
        <v>2</v>
      </c>
      <c r="K245" s="8"/>
      <c r="L245" s="22"/>
      <c r="M245" s="8"/>
      <c r="N245" s="13">
        <v>45632</v>
      </c>
      <c r="O245" s="9"/>
      <c r="P245" s="7" t="s">
        <v>48</v>
      </c>
      <c r="Q245" s="7" t="s">
        <v>266</v>
      </c>
      <c r="R245" s="7"/>
      <c r="S245" s="7"/>
      <c r="T245" s="7"/>
      <c r="U245" s="7"/>
    </row>
    <row r="246" spans="1:21" ht="64" customHeight="1">
      <c r="A246" s="7" t="s">
        <v>182</v>
      </c>
      <c r="B246" s="30" t="s">
        <v>155</v>
      </c>
      <c r="C246" s="7" t="s">
        <v>23</v>
      </c>
      <c r="D246" s="7" t="s">
        <v>928</v>
      </c>
      <c r="E246" s="7"/>
      <c r="F246" s="7" t="s">
        <v>929</v>
      </c>
      <c r="G246" s="7" t="s">
        <v>930</v>
      </c>
      <c r="H246" s="7" t="s">
        <v>931</v>
      </c>
      <c r="I246" s="7" t="s">
        <v>559</v>
      </c>
      <c r="J246" s="8">
        <v>1</v>
      </c>
      <c r="K246" s="8">
        <v>852</v>
      </c>
      <c r="L246" s="24">
        <f>WorkmanshipResultsTable[[#This Row],[Number of Failed Units]]/WorkmanshipResultsTable[[#This Row],[Total Units Built]]</f>
        <v>1.1737089201877935E-3</v>
      </c>
      <c r="M246" s="8" t="s">
        <v>932</v>
      </c>
      <c r="N246" s="13">
        <v>45590</v>
      </c>
      <c r="O246" s="9"/>
      <c r="P246" s="9" t="s">
        <v>205</v>
      </c>
      <c r="Q246" s="7" t="s">
        <v>771</v>
      </c>
      <c r="R246" s="7"/>
      <c r="S246" s="7"/>
      <c r="T246" s="7"/>
      <c r="U246" s="7"/>
    </row>
    <row r="247" spans="1:21" ht="48" customHeight="1">
      <c r="A247" s="7" t="s">
        <v>182</v>
      </c>
      <c r="B247" s="30" t="s">
        <v>208</v>
      </c>
      <c r="C247" s="7" t="s">
        <v>23</v>
      </c>
      <c r="D247" s="7" t="s">
        <v>803</v>
      </c>
      <c r="E247" s="7"/>
      <c r="F247" s="7" t="s">
        <v>933</v>
      </c>
      <c r="G247" s="7" t="s">
        <v>934</v>
      </c>
      <c r="H247" s="7" t="s">
        <v>935</v>
      </c>
      <c r="I247" s="7" t="s">
        <v>265</v>
      </c>
      <c r="J247" s="8">
        <v>5</v>
      </c>
      <c r="K247" s="8"/>
      <c r="L247" s="22"/>
      <c r="M247" s="8"/>
      <c r="N247" s="13">
        <v>45664</v>
      </c>
      <c r="O247" s="9"/>
      <c r="P247" s="7" t="s">
        <v>48</v>
      </c>
      <c r="Q247" s="7" t="s">
        <v>266</v>
      </c>
      <c r="R247" s="7"/>
      <c r="S247" s="7"/>
      <c r="T247" s="7"/>
      <c r="U247" s="7"/>
    </row>
    <row r="248" spans="1:21" ht="48" customHeight="1">
      <c r="A248" s="7" t="s">
        <v>182</v>
      </c>
      <c r="B248" s="30" t="s">
        <v>71</v>
      </c>
      <c r="C248" s="7" t="s">
        <v>23</v>
      </c>
      <c r="D248" s="7" t="s">
        <v>261</v>
      </c>
      <c r="E248" s="7"/>
      <c r="F248" s="7" t="s">
        <v>936</v>
      </c>
      <c r="G248" s="7" t="s">
        <v>820</v>
      </c>
      <c r="H248" s="7" t="s">
        <v>883</v>
      </c>
      <c r="I248" s="7" t="s">
        <v>265</v>
      </c>
      <c r="J248" s="8"/>
      <c r="K248" s="8"/>
      <c r="L248" s="22"/>
      <c r="M248" s="8"/>
      <c r="N248" s="13">
        <v>45611</v>
      </c>
      <c r="O248" s="9"/>
      <c r="P248" s="7" t="s">
        <v>48</v>
      </c>
      <c r="Q248" s="7" t="s">
        <v>266</v>
      </c>
      <c r="R248" s="7"/>
      <c r="S248" s="7"/>
      <c r="T248" s="7"/>
      <c r="U248" s="7"/>
    </row>
    <row r="249" spans="1:21" ht="48" customHeight="1">
      <c r="A249" s="7" t="s">
        <v>182</v>
      </c>
      <c r="B249" s="30" t="s">
        <v>98</v>
      </c>
      <c r="C249" s="7" t="s">
        <v>23</v>
      </c>
      <c r="D249" s="7" t="s">
        <v>261</v>
      </c>
      <c r="E249" s="7"/>
      <c r="F249" s="7" t="s">
        <v>937</v>
      </c>
      <c r="G249" s="7" t="s">
        <v>938</v>
      </c>
      <c r="H249" s="7" t="s">
        <v>875</v>
      </c>
      <c r="I249" s="7" t="s">
        <v>265</v>
      </c>
      <c r="J249" s="8">
        <v>7</v>
      </c>
      <c r="K249" s="8"/>
      <c r="L249" s="22"/>
      <c r="M249" s="8"/>
      <c r="N249" s="13">
        <v>45664</v>
      </c>
      <c r="O249" s="9"/>
      <c r="P249" s="7" t="s">
        <v>48</v>
      </c>
      <c r="Q249" s="7" t="s">
        <v>266</v>
      </c>
      <c r="R249" s="7"/>
      <c r="S249" s="7"/>
      <c r="T249" s="7"/>
      <c r="U249" s="7"/>
    </row>
    <row r="250" spans="1:21" ht="272" customHeight="1">
      <c r="A250" s="7" t="s">
        <v>182</v>
      </c>
      <c r="B250" s="30" t="s">
        <v>105</v>
      </c>
      <c r="C250" s="7" t="s">
        <v>23</v>
      </c>
      <c r="D250" s="7" t="s">
        <v>700</v>
      </c>
      <c r="E250" s="7"/>
      <c r="F250" s="7" t="s">
        <v>939</v>
      </c>
      <c r="G250" s="7" t="s">
        <v>940</v>
      </c>
      <c r="H250" s="7" t="s">
        <v>865</v>
      </c>
      <c r="I250" s="7" t="s">
        <v>265</v>
      </c>
      <c r="J250" s="8"/>
      <c r="K250" s="8"/>
      <c r="L250" s="22"/>
      <c r="M250" s="8"/>
      <c r="N250" s="13">
        <v>45674</v>
      </c>
      <c r="O250" s="9"/>
      <c r="P250" s="7" t="s">
        <v>48</v>
      </c>
      <c r="Q250" s="7" t="s">
        <v>266</v>
      </c>
      <c r="R250" s="7"/>
      <c r="S250" s="7"/>
      <c r="T250" s="7"/>
      <c r="U250" s="7"/>
    </row>
    <row r="251" spans="1:21" ht="64" customHeight="1">
      <c r="A251" s="7" t="s">
        <v>182</v>
      </c>
      <c r="B251" s="30" t="s">
        <v>1273</v>
      </c>
      <c r="C251" s="7" t="s">
        <v>23</v>
      </c>
      <c r="D251" s="7" t="s">
        <v>742</v>
      </c>
      <c r="E251" s="7"/>
      <c r="F251" s="7" t="s">
        <v>941</v>
      </c>
      <c r="G251" s="7" t="s">
        <v>942</v>
      </c>
      <c r="H251" s="7" t="s">
        <v>943</v>
      </c>
      <c r="I251" s="7" t="s">
        <v>265</v>
      </c>
      <c r="J251" s="8">
        <v>7</v>
      </c>
      <c r="K251" s="8"/>
      <c r="L251" s="22"/>
      <c r="M251" s="8"/>
      <c r="N251" s="13">
        <v>45681</v>
      </c>
      <c r="O251" s="9"/>
      <c r="P251" s="7" t="s">
        <v>48</v>
      </c>
      <c r="Q251" s="7" t="s">
        <v>266</v>
      </c>
      <c r="R251" s="7"/>
      <c r="S251" s="7"/>
      <c r="T251" s="7"/>
      <c r="U251" s="7"/>
    </row>
    <row r="252" spans="1:21" ht="48" customHeight="1">
      <c r="A252" s="7" t="s">
        <v>182</v>
      </c>
      <c r="B252" s="30" t="s">
        <v>98</v>
      </c>
      <c r="C252" s="7" t="s">
        <v>23</v>
      </c>
      <c r="D252" s="7" t="s">
        <v>893</v>
      </c>
      <c r="E252" s="7"/>
      <c r="F252" s="7" t="s">
        <v>944</v>
      </c>
      <c r="G252" s="7" t="s">
        <v>945</v>
      </c>
      <c r="H252" s="7" t="s">
        <v>946</v>
      </c>
      <c r="I252" s="7" t="s">
        <v>265</v>
      </c>
      <c r="J252" s="8">
        <v>5</v>
      </c>
      <c r="K252" s="8"/>
      <c r="L252" s="22"/>
      <c r="M252" s="8"/>
      <c r="N252" s="13">
        <v>45681</v>
      </c>
      <c r="O252" s="9"/>
      <c r="P252" s="7" t="s">
        <v>48</v>
      </c>
      <c r="Q252" s="7" t="s">
        <v>266</v>
      </c>
      <c r="R252" s="7"/>
      <c r="S252" s="7"/>
      <c r="T252" s="7"/>
      <c r="U252" s="7"/>
    </row>
    <row r="253" spans="1:21" ht="80" customHeight="1">
      <c r="A253" s="7" t="s">
        <v>182</v>
      </c>
      <c r="B253" s="30" t="s">
        <v>71</v>
      </c>
      <c r="C253" s="7" t="s">
        <v>23</v>
      </c>
      <c r="D253" s="7" t="s">
        <v>893</v>
      </c>
      <c r="E253" s="7"/>
      <c r="F253" s="7" t="s">
        <v>947</v>
      </c>
      <c r="G253" s="7" t="s">
        <v>820</v>
      </c>
      <c r="H253" s="7" t="s">
        <v>948</v>
      </c>
      <c r="I253" s="7" t="s">
        <v>265</v>
      </c>
      <c r="J253" s="8">
        <v>4</v>
      </c>
      <c r="K253" s="8"/>
      <c r="L253" s="22"/>
      <c r="M253" s="8"/>
      <c r="N253" s="13">
        <v>45681</v>
      </c>
      <c r="O253" s="9"/>
      <c r="P253" s="7" t="s">
        <v>48</v>
      </c>
      <c r="Q253" s="7" t="s">
        <v>266</v>
      </c>
      <c r="R253" s="7"/>
      <c r="S253" s="7"/>
      <c r="T253" s="7"/>
      <c r="U253" s="7"/>
    </row>
    <row r="254" spans="1:21" ht="64" customHeight="1">
      <c r="A254" s="7" t="s">
        <v>182</v>
      </c>
      <c r="B254" s="30" t="s">
        <v>208</v>
      </c>
      <c r="C254" s="7" t="s">
        <v>23</v>
      </c>
      <c r="D254" s="7" t="s">
        <v>949</v>
      </c>
      <c r="E254" s="7"/>
      <c r="F254" s="7" t="s">
        <v>950</v>
      </c>
      <c r="G254" s="7" t="s">
        <v>951</v>
      </c>
      <c r="H254" s="7" t="s">
        <v>952</v>
      </c>
      <c r="I254" s="7" t="s">
        <v>265</v>
      </c>
      <c r="J254" s="8">
        <v>1</v>
      </c>
      <c r="K254" s="8"/>
      <c r="L254" s="22"/>
      <c r="M254" s="8"/>
      <c r="N254" s="13">
        <v>45688</v>
      </c>
      <c r="O254" s="9"/>
      <c r="P254" s="7" t="s">
        <v>48</v>
      </c>
      <c r="Q254" s="7" t="s">
        <v>266</v>
      </c>
      <c r="R254" s="7"/>
      <c r="S254" s="7"/>
      <c r="T254" s="7"/>
      <c r="U254" s="7"/>
    </row>
    <row r="255" spans="1:21" ht="48" customHeight="1">
      <c r="A255" s="7" t="s">
        <v>182</v>
      </c>
      <c r="B255" s="30" t="s">
        <v>225</v>
      </c>
      <c r="C255" s="7" t="s">
        <v>23</v>
      </c>
      <c r="D255" s="7" t="s">
        <v>953</v>
      </c>
      <c r="E255" s="7"/>
      <c r="F255" s="7" t="s">
        <v>954</v>
      </c>
      <c r="G255" s="7" t="s">
        <v>955</v>
      </c>
      <c r="H255" s="7" t="s">
        <v>956</v>
      </c>
      <c r="I255" s="7" t="s">
        <v>265</v>
      </c>
      <c r="J255" s="8"/>
      <c r="K255" s="8"/>
      <c r="L255" s="22"/>
      <c r="M255" s="8"/>
      <c r="N255" s="13">
        <v>45695</v>
      </c>
      <c r="O255" s="9"/>
      <c r="P255" s="7" t="s">
        <v>48</v>
      </c>
      <c r="Q255" s="7" t="s">
        <v>266</v>
      </c>
      <c r="R255" s="7"/>
      <c r="S255" s="7"/>
      <c r="T255" s="7"/>
      <c r="U255" s="7"/>
    </row>
    <row r="256" spans="1:21" ht="80" customHeight="1">
      <c r="A256" s="7" t="s">
        <v>182</v>
      </c>
      <c r="B256" s="30" t="s">
        <v>71</v>
      </c>
      <c r="C256" s="7" t="s">
        <v>23</v>
      </c>
      <c r="D256" s="7" t="s">
        <v>261</v>
      </c>
      <c r="E256" s="7"/>
      <c r="F256" s="7" t="s">
        <v>957</v>
      </c>
      <c r="G256" s="7" t="s">
        <v>958</v>
      </c>
      <c r="H256" s="7" t="s">
        <v>959</v>
      </c>
      <c r="I256" s="7" t="s">
        <v>265</v>
      </c>
      <c r="J256" s="8">
        <v>5</v>
      </c>
      <c r="K256" s="8"/>
      <c r="L256" s="22"/>
      <c r="M256" s="8"/>
      <c r="N256" s="13">
        <v>45664</v>
      </c>
      <c r="O256" s="9"/>
      <c r="P256" s="7" t="s">
        <v>48</v>
      </c>
      <c r="Q256" s="7" t="s">
        <v>266</v>
      </c>
      <c r="R256" s="7"/>
      <c r="S256" s="7"/>
      <c r="T256" s="7"/>
      <c r="U256" s="7"/>
    </row>
    <row r="257" spans="1:21" ht="32" customHeight="1">
      <c r="A257" s="7" t="s">
        <v>182</v>
      </c>
      <c r="B257" s="30" t="s">
        <v>71</v>
      </c>
      <c r="C257" s="7" t="s">
        <v>23</v>
      </c>
      <c r="D257" s="7" t="s">
        <v>960</v>
      </c>
      <c r="E257" s="7"/>
      <c r="F257" s="7" t="s">
        <v>961</v>
      </c>
      <c r="G257" s="7" t="s">
        <v>794</v>
      </c>
      <c r="H257" s="7" t="s">
        <v>795</v>
      </c>
      <c r="I257" s="7" t="s">
        <v>265</v>
      </c>
      <c r="J257" s="8">
        <v>4</v>
      </c>
      <c r="K257" s="8"/>
      <c r="L257" s="22"/>
      <c r="M257" s="8"/>
      <c r="N257" s="13">
        <v>45702</v>
      </c>
      <c r="O257" s="9"/>
      <c r="P257" s="7" t="s">
        <v>48</v>
      </c>
      <c r="Q257" s="7" t="s">
        <v>266</v>
      </c>
      <c r="R257" s="7"/>
      <c r="S257" s="7"/>
      <c r="T257" s="7"/>
      <c r="U257" s="7"/>
    </row>
    <row r="258" spans="1:21" ht="64" customHeight="1">
      <c r="A258" s="7" t="s">
        <v>182</v>
      </c>
      <c r="B258" s="30" t="s">
        <v>208</v>
      </c>
      <c r="C258" s="7" t="s">
        <v>23</v>
      </c>
      <c r="D258" s="7" t="s">
        <v>962</v>
      </c>
      <c r="E258" s="7"/>
      <c r="F258" s="7" t="s">
        <v>963</v>
      </c>
      <c r="G258" s="7" t="s">
        <v>964</v>
      </c>
      <c r="H258" s="7" t="s">
        <v>965</v>
      </c>
      <c r="I258" s="7" t="s">
        <v>265</v>
      </c>
      <c r="J258" s="8">
        <v>11</v>
      </c>
      <c r="K258" s="8"/>
      <c r="L258" s="22"/>
      <c r="M258" s="8"/>
      <c r="N258" s="13">
        <v>45709</v>
      </c>
      <c r="O258" s="9"/>
      <c r="P258" s="7" t="s">
        <v>48</v>
      </c>
      <c r="Q258" s="7" t="s">
        <v>266</v>
      </c>
      <c r="R258" s="7"/>
      <c r="S258" s="7"/>
      <c r="T258" s="7"/>
      <c r="U258" s="7"/>
    </row>
    <row r="259" spans="1:21" ht="48" customHeight="1">
      <c r="A259" s="7" t="s">
        <v>182</v>
      </c>
      <c r="B259" s="30" t="s">
        <v>98</v>
      </c>
      <c r="C259" s="7" t="s">
        <v>23</v>
      </c>
      <c r="D259" s="7" t="s">
        <v>696</v>
      </c>
      <c r="E259" s="7"/>
      <c r="F259" s="7" t="s">
        <v>966</v>
      </c>
      <c r="G259" s="7" t="s">
        <v>938</v>
      </c>
      <c r="H259" s="7" t="s">
        <v>875</v>
      </c>
      <c r="I259" s="7" t="s">
        <v>265</v>
      </c>
      <c r="J259" s="8"/>
      <c r="K259" s="8"/>
      <c r="L259" s="22"/>
      <c r="M259" s="8"/>
      <c r="N259" s="13">
        <v>45674</v>
      </c>
      <c r="O259" s="9"/>
      <c r="P259" s="7" t="s">
        <v>48</v>
      </c>
      <c r="Q259" s="7" t="s">
        <v>266</v>
      </c>
      <c r="R259" s="7"/>
      <c r="S259" s="7"/>
      <c r="T259" s="7"/>
      <c r="U259" s="7"/>
    </row>
    <row r="260" spans="1:21" ht="48" customHeight="1">
      <c r="A260" s="7" t="s">
        <v>182</v>
      </c>
      <c r="B260" s="30" t="s">
        <v>71</v>
      </c>
      <c r="C260" s="7" t="s">
        <v>23</v>
      </c>
      <c r="D260" s="7" t="s">
        <v>750</v>
      </c>
      <c r="E260" s="7"/>
      <c r="F260" s="7" t="s">
        <v>967</v>
      </c>
      <c r="G260" s="7" t="s">
        <v>968</v>
      </c>
      <c r="H260" s="7" t="s">
        <v>969</v>
      </c>
      <c r="I260" s="7" t="s">
        <v>265</v>
      </c>
      <c r="J260" s="8">
        <v>11</v>
      </c>
      <c r="K260" s="8"/>
      <c r="L260" s="22"/>
      <c r="M260" s="8"/>
      <c r="N260" s="13">
        <v>45723</v>
      </c>
      <c r="O260" s="9"/>
      <c r="P260" s="7" t="s">
        <v>48</v>
      </c>
      <c r="Q260" s="7" t="s">
        <v>266</v>
      </c>
      <c r="R260" s="7"/>
      <c r="S260" s="7"/>
      <c r="T260" s="7"/>
      <c r="U260" s="7"/>
    </row>
    <row r="261" spans="1:21" ht="112" customHeight="1">
      <c r="A261" s="7" t="s">
        <v>182</v>
      </c>
      <c r="B261" s="30" t="s">
        <v>225</v>
      </c>
      <c r="C261" s="7" t="s">
        <v>23</v>
      </c>
      <c r="D261" s="7" t="s">
        <v>953</v>
      </c>
      <c r="E261" s="7"/>
      <c r="F261" s="7" t="s">
        <v>970</v>
      </c>
      <c r="G261" s="7" t="s">
        <v>971</v>
      </c>
      <c r="H261" s="7" t="s">
        <v>972</v>
      </c>
      <c r="I261" s="7" t="s">
        <v>265</v>
      </c>
      <c r="J261" s="8">
        <v>7</v>
      </c>
      <c r="K261" s="8"/>
      <c r="L261" s="22"/>
      <c r="M261" s="8"/>
      <c r="N261" s="13">
        <v>45729</v>
      </c>
      <c r="O261" s="9"/>
      <c r="P261" s="7" t="s">
        <v>48</v>
      </c>
      <c r="Q261" s="7" t="s">
        <v>266</v>
      </c>
      <c r="R261" s="7"/>
      <c r="S261" s="7"/>
      <c r="T261" s="7"/>
      <c r="U261" s="7"/>
    </row>
    <row r="262" spans="1:21" ht="112" customHeight="1">
      <c r="A262" s="7" t="s">
        <v>182</v>
      </c>
      <c r="B262" s="30" t="s">
        <v>225</v>
      </c>
      <c r="C262" s="7" t="s">
        <v>23</v>
      </c>
      <c r="D262" s="7" t="s">
        <v>953</v>
      </c>
      <c r="E262" s="7"/>
      <c r="F262" s="7" t="s">
        <v>973</v>
      </c>
      <c r="G262" s="7" t="s">
        <v>971</v>
      </c>
      <c r="H262" s="7" t="s">
        <v>972</v>
      </c>
      <c r="I262" s="7" t="s">
        <v>265</v>
      </c>
      <c r="J262" s="8">
        <v>6</v>
      </c>
      <c r="K262" s="8"/>
      <c r="L262" s="22"/>
      <c r="M262" s="8"/>
      <c r="N262" s="13">
        <v>45729</v>
      </c>
      <c r="O262" s="9"/>
      <c r="P262" s="7" t="s">
        <v>48</v>
      </c>
      <c r="Q262" s="7" t="s">
        <v>266</v>
      </c>
      <c r="R262" s="7"/>
      <c r="S262" s="7"/>
      <c r="T262" s="7"/>
      <c r="U262" s="7"/>
    </row>
    <row r="263" spans="1:21" ht="64" customHeight="1">
      <c r="A263" s="7" t="s">
        <v>182</v>
      </c>
      <c r="B263" s="30" t="s">
        <v>71</v>
      </c>
      <c r="C263" s="7" t="s">
        <v>23</v>
      </c>
      <c r="D263" s="7" t="s">
        <v>261</v>
      </c>
      <c r="E263" s="7"/>
      <c r="F263" s="7" t="s">
        <v>974</v>
      </c>
      <c r="G263" s="7" t="s">
        <v>975</v>
      </c>
      <c r="H263" s="7" t="s">
        <v>976</v>
      </c>
      <c r="I263" s="7" t="s">
        <v>265</v>
      </c>
      <c r="J263" s="8">
        <v>4</v>
      </c>
      <c r="K263" s="8"/>
      <c r="L263" s="22"/>
      <c r="M263" s="8"/>
      <c r="N263" s="13">
        <v>45702</v>
      </c>
      <c r="O263" s="9"/>
      <c r="P263" s="7" t="s">
        <v>48</v>
      </c>
      <c r="Q263" s="7" t="s">
        <v>266</v>
      </c>
      <c r="R263" s="7"/>
      <c r="S263" s="7"/>
      <c r="T263" s="7"/>
      <c r="U263" s="7"/>
    </row>
    <row r="264" spans="1:21" ht="96" customHeight="1">
      <c r="A264" s="7" t="s">
        <v>182</v>
      </c>
      <c r="B264" s="30" t="s">
        <v>22</v>
      </c>
      <c r="C264" s="7" t="s">
        <v>23</v>
      </c>
      <c r="D264" s="7" t="s">
        <v>696</v>
      </c>
      <c r="E264" s="7"/>
      <c r="F264" s="7" t="s">
        <v>977</v>
      </c>
      <c r="G264" s="7" t="s">
        <v>881</v>
      </c>
      <c r="H264" s="7" t="s">
        <v>845</v>
      </c>
      <c r="I264" s="7" t="s">
        <v>265</v>
      </c>
      <c r="J264" s="8">
        <v>3</v>
      </c>
      <c r="K264" s="8"/>
      <c r="L264" s="22"/>
      <c r="M264" s="8"/>
      <c r="N264" s="13">
        <v>45709</v>
      </c>
      <c r="O264" s="9"/>
      <c r="P264" s="7" t="s">
        <v>48</v>
      </c>
      <c r="Q264" s="7" t="s">
        <v>266</v>
      </c>
      <c r="R264" s="7"/>
      <c r="S264" s="7"/>
      <c r="T264" s="7"/>
      <c r="U264" s="7"/>
    </row>
    <row r="265" spans="1:21" ht="48" customHeight="1">
      <c r="A265" s="7" t="s">
        <v>182</v>
      </c>
      <c r="B265" s="30" t="s">
        <v>71</v>
      </c>
      <c r="C265" s="7" t="s">
        <v>23</v>
      </c>
      <c r="D265" s="7" t="s">
        <v>746</v>
      </c>
      <c r="E265" s="7"/>
      <c r="F265" s="7" t="s">
        <v>978</v>
      </c>
      <c r="G265" s="7" t="s">
        <v>968</v>
      </c>
      <c r="H265" s="7" t="s">
        <v>979</v>
      </c>
      <c r="I265" s="7" t="s">
        <v>265</v>
      </c>
      <c r="J265" s="8">
        <v>4</v>
      </c>
      <c r="K265" s="8"/>
      <c r="L265" s="22"/>
      <c r="M265" s="8"/>
      <c r="N265" s="13">
        <v>45735</v>
      </c>
      <c r="O265" s="9"/>
      <c r="P265" s="7" t="s">
        <v>48</v>
      </c>
      <c r="Q265" s="7" t="s">
        <v>266</v>
      </c>
      <c r="R265" s="7"/>
      <c r="S265" s="7"/>
      <c r="T265" s="7"/>
      <c r="U265" s="7"/>
    </row>
    <row r="266" spans="1:21" ht="48" customHeight="1">
      <c r="A266" s="7" t="s">
        <v>182</v>
      </c>
      <c r="B266" s="30" t="s">
        <v>71</v>
      </c>
      <c r="C266" s="7" t="s">
        <v>23</v>
      </c>
      <c r="D266" s="7" t="s">
        <v>696</v>
      </c>
      <c r="E266" s="7"/>
      <c r="F266" s="7" t="s">
        <v>980</v>
      </c>
      <c r="G266" s="7" t="s">
        <v>981</v>
      </c>
      <c r="H266" s="7" t="s">
        <v>979</v>
      </c>
      <c r="I266" s="7" t="s">
        <v>265</v>
      </c>
      <c r="J266" s="8"/>
      <c r="K266" s="8"/>
      <c r="L266" s="22"/>
      <c r="M266" s="8"/>
      <c r="N266" s="13">
        <v>45735</v>
      </c>
      <c r="O266" s="9"/>
      <c r="P266" s="7" t="s">
        <v>48</v>
      </c>
      <c r="Q266" s="7" t="s">
        <v>266</v>
      </c>
      <c r="R266" s="7"/>
      <c r="S266" s="7"/>
      <c r="T266" s="7"/>
      <c r="U266" s="7"/>
    </row>
    <row r="267" spans="1:21" ht="48" customHeight="1">
      <c r="A267" s="7" t="s">
        <v>182</v>
      </c>
      <c r="B267" s="30" t="s">
        <v>71</v>
      </c>
      <c r="C267" s="7" t="s">
        <v>23</v>
      </c>
      <c r="D267" s="7" t="s">
        <v>696</v>
      </c>
      <c r="E267" s="7"/>
      <c r="F267" s="7" t="s">
        <v>982</v>
      </c>
      <c r="G267" s="7" t="s">
        <v>983</v>
      </c>
      <c r="H267" s="7" t="s">
        <v>984</v>
      </c>
      <c r="I267" s="7" t="s">
        <v>265</v>
      </c>
      <c r="J267" s="8"/>
      <c r="K267" s="8"/>
      <c r="L267" s="22"/>
      <c r="M267" s="8"/>
      <c r="N267" s="13">
        <v>45737</v>
      </c>
      <c r="O267" s="9"/>
      <c r="P267" s="7" t="s">
        <v>48</v>
      </c>
      <c r="Q267" s="7" t="s">
        <v>266</v>
      </c>
      <c r="R267" s="7"/>
      <c r="S267" s="7"/>
      <c r="T267" s="7"/>
      <c r="U267" s="7"/>
    </row>
    <row r="268" spans="1:21" ht="32" customHeight="1">
      <c r="A268" s="7" t="s">
        <v>182</v>
      </c>
      <c r="B268" s="30" t="s">
        <v>71</v>
      </c>
      <c r="C268" s="7" t="s">
        <v>23</v>
      </c>
      <c r="D268" s="7" t="s">
        <v>261</v>
      </c>
      <c r="E268" s="7"/>
      <c r="F268" s="7" t="s">
        <v>985</v>
      </c>
      <c r="G268" s="7" t="s">
        <v>986</v>
      </c>
      <c r="H268" s="7" t="s">
        <v>987</v>
      </c>
      <c r="I268" s="7" t="s">
        <v>265</v>
      </c>
      <c r="J268" s="8">
        <v>11</v>
      </c>
      <c r="K268" s="8"/>
      <c r="L268" s="22"/>
      <c r="M268" s="8"/>
      <c r="N268" s="13">
        <v>45744</v>
      </c>
      <c r="O268" s="9"/>
      <c r="P268" s="7" t="s">
        <v>48</v>
      </c>
      <c r="Q268" s="7" t="s">
        <v>266</v>
      </c>
      <c r="R268" s="7"/>
      <c r="S268" s="7"/>
      <c r="T268" s="7"/>
      <c r="U268" s="7"/>
    </row>
    <row r="269" spans="1:21" ht="32" customHeight="1">
      <c r="A269" s="7" t="s">
        <v>182</v>
      </c>
      <c r="B269" s="30" t="s">
        <v>71</v>
      </c>
      <c r="C269" s="7" t="s">
        <v>23</v>
      </c>
      <c r="D269" s="7" t="s">
        <v>356</v>
      </c>
      <c r="E269" s="7"/>
      <c r="F269" s="7" t="s">
        <v>988</v>
      </c>
      <c r="G269" s="7" t="s">
        <v>986</v>
      </c>
      <c r="H269" s="7" t="s">
        <v>987</v>
      </c>
      <c r="I269" s="7" t="s">
        <v>265</v>
      </c>
      <c r="J269" s="8"/>
      <c r="K269" s="8"/>
      <c r="L269" s="22"/>
      <c r="M269" s="8"/>
      <c r="N269" s="13">
        <v>45744</v>
      </c>
      <c r="O269" s="9"/>
      <c r="P269" s="7" t="s">
        <v>48</v>
      </c>
      <c r="Q269" s="7" t="s">
        <v>266</v>
      </c>
      <c r="R269" s="7"/>
      <c r="S269" s="7"/>
      <c r="T269" s="7"/>
      <c r="U269" s="7"/>
    </row>
    <row r="270" spans="1:21" ht="48" customHeight="1">
      <c r="A270" s="7" t="s">
        <v>182</v>
      </c>
      <c r="B270" s="30" t="s">
        <v>98</v>
      </c>
      <c r="C270" s="7" t="s">
        <v>23</v>
      </c>
      <c r="D270" s="7" t="s">
        <v>700</v>
      </c>
      <c r="E270" s="7"/>
      <c r="F270" s="7" t="s">
        <v>989</v>
      </c>
      <c r="G270" s="7" t="s">
        <v>945</v>
      </c>
      <c r="H270" s="7" t="s">
        <v>946</v>
      </c>
      <c r="I270" s="7" t="s">
        <v>265</v>
      </c>
      <c r="J270" s="8">
        <v>3</v>
      </c>
      <c r="K270" s="8"/>
      <c r="L270" s="22"/>
      <c r="M270" s="8"/>
      <c r="N270" s="13">
        <v>45751</v>
      </c>
      <c r="O270" s="9"/>
      <c r="P270" s="7" t="s">
        <v>48</v>
      </c>
      <c r="Q270" s="7" t="s">
        <v>266</v>
      </c>
      <c r="R270" s="7"/>
      <c r="S270" s="7"/>
      <c r="T270" s="7"/>
      <c r="U270" s="7"/>
    </row>
    <row r="271" spans="1:21" ht="32" customHeight="1">
      <c r="A271" s="7" t="s">
        <v>182</v>
      </c>
      <c r="B271" s="30" t="s">
        <v>98</v>
      </c>
      <c r="C271" s="7" t="s">
        <v>23</v>
      </c>
      <c r="D271" s="7" t="s">
        <v>261</v>
      </c>
      <c r="E271" s="7"/>
      <c r="F271" s="7" t="s">
        <v>990</v>
      </c>
      <c r="G271" s="7" t="s">
        <v>853</v>
      </c>
      <c r="H271" s="7" t="s">
        <v>875</v>
      </c>
      <c r="I271" s="7" t="s">
        <v>265</v>
      </c>
      <c r="J271" s="8">
        <v>4</v>
      </c>
      <c r="K271" s="8"/>
      <c r="L271" s="22"/>
      <c r="M271" s="8"/>
      <c r="N271" s="13">
        <v>45744</v>
      </c>
      <c r="O271" s="9"/>
      <c r="P271" s="7" t="s">
        <v>48</v>
      </c>
      <c r="Q271" s="7" t="s">
        <v>266</v>
      </c>
      <c r="R271" s="7"/>
      <c r="S271" s="7"/>
      <c r="T271" s="7"/>
      <c r="U271" s="7"/>
    </row>
    <row r="272" spans="1:21" ht="32" customHeight="1">
      <c r="A272" s="7" t="s">
        <v>182</v>
      </c>
      <c r="B272" s="30" t="s">
        <v>71</v>
      </c>
      <c r="C272" s="7" t="s">
        <v>23</v>
      </c>
      <c r="D272" s="7" t="s">
        <v>742</v>
      </c>
      <c r="E272" s="7"/>
      <c r="F272" s="7" t="s">
        <v>991</v>
      </c>
      <c r="G272" s="7" t="s">
        <v>986</v>
      </c>
      <c r="H272" s="7" t="s">
        <v>987</v>
      </c>
      <c r="I272" s="7" t="s">
        <v>265</v>
      </c>
      <c r="J272" s="8">
        <v>3</v>
      </c>
      <c r="K272" s="8"/>
      <c r="L272" s="22"/>
      <c r="M272" s="8"/>
      <c r="N272" s="13">
        <v>45758</v>
      </c>
      <c r="O272" s="9"/>
      <c r="P272" s="7" t="s">
        <v>48</v>
      </c>
      <c r="Q272" s="7" t="s">
        <v>266</v>
      </c>
      <c r="R272" s="7"/>
      <c r="S272" s="7"/>
      <c r="T272" s="7"/>
      <c r="U272" s="7"/>
    </row>
    <row r="273" spans="1:21" ht="112" customHeight="1">
      <c r="A273" s="7" t="s">
        <v>182</v>
      </c>
      <c r="B273" s="30" t="s">
        <v>71</v>
      </c>
      <c r="C273" s="7" t="s">
        <v>23</v>
      </c>
      <c r="D273" s="7" t="s">
        <v>742</v>
      </c>
      <c r="E273" s="7"/>
      <c r="F273" s="7" t="s">
        <v>992</v>
      </c>
      <c r="G273" s="7" t="s">
        <v>986</v>
      </c>
      <c r="H273" s="7" t="s">
        <v>993</v>
      </c>
      <c r="I273" s="7" t="s">
        <v>265</v>
      </c>
      <c r="J273" s="8">
        <v>10</v>
      </c>
      <c r="K273" s="8"/>
      <c r="L273" s="22"/>
      <c r="M273" s="8"/>
      <c r="N273" s="13">
        <v>45847</v>
      </c>
      <c r="O273" s="9"/>
      <c r="P273" s="7" t="s">
        <v>48</v>
      </c>
      <c r="Q273" s="7" t="s">
        <v>266</v>
      </c>
      <c r="R273" s="7"/>
      <c r="S273" s="7"/>
      <c r="T273" s="7"/>
      <c r="U273" s="7"/>
    </row>
    <row r="274" spans="1:21" ht="32" customHeight="1">
      <c r="A274" s="7" t="s">
        <v>182</v>
      </c>
      <c r="B274" s="30" t="s">
        <v>71</v>
      </c>
      <c r="C274" s="7" t="s">
        <v>23</v>
      </c>
      <c r="D274" s="7" t="s">
        <v>893</v>
      </c>
      <c r="E274" s="7"/>
      <c r="F274" s="7" t="s">
        <v>994</v>
      </c>
      <c r="G274" s="7" t="s">
        <v>995</v>
      </c>
      <c r="H274" s="7" t="s">
        <v>996</v>
      </c>
      <c r="I274" s="7" t="s">
        <v>265</v>
      </c>
      <c r="J274" s="8">
        <v>5</v>
      </c>
      <c r="K274" s="8"/>
      <c r="L274" s="22"/>
      <c r="M274" s="8"/>
      <c r="N274" s="13">
        <v>46144</v>
      </c>
      <c r="O274" s="9"/>
      <c r="P274" s="7" t="s">
        <v>48</v>
      </c>
      <c r="Q274" s="7" t="s">
        <v>266</v>
      </c>
      <c r="R274" s="7"/>
      <c r="S274" s="7"/>
      <c r="T274" s="7"/>
      <c r="U274" s="7"/>
    </row>
    <row r="275" spans="1:21" ht="112" customHeight="1">
      <c r="A275" s="7" t="s">
        <v>182</v>
      </c>
      <c r="B275" s="30" t="s">
        <v>71</v>
      </c>
      <c r="C275" s="7" t="s">
        <v>23</v>
      </c>
      <c r="D275" s="7" t="s">
        <v>718</v>
      </c>
      <c r="E275" s="7"/>
      <c r="F275" s="7" t="s">
        <v>997</v>
      </c>
      <c r="G275" s="7" t="s">
        <v>986</v>
      </c>
      <c r="H275" s="7" t="s">
        <v>993</v>
      </c>
      <c r="I275" s="7" t="s">
        <v>265</v>
      </c>
      <c r="J275" s="8"/>
      <c r="K275" s="8"/>
      <c r="L275" s="22"/>
      <c r="M275" s="8"/>
      <c r="N275" s="13">
        <v>45847</v>
      </c>
      <c r="O275" s="9"/>
      <c r="P275" s="7" t="s">
        <v>48</v>
      </c>
      <c r="Q275" s="7" t="s">
        <v>266</v>
      </c>
      <c r="R275" s="7"/>
      <c r="S275" s="7"/>
      <c r="T275" s="7"/>
      <c r="U275" s="7"/>
    </row>
    <row r="276" spans="1:21" ht="16" customHeight="1">
      <c r="A276" s="7" t="s">
        <v>182</v>
      </c>
      <c r="B276" s="30" t="s">
        <v>71</v>
      </c>
      <c r="C276" s="7" t="s">
        <v>23</v>
      </c>
      <c r="D276" s="7" t="s">
        <v>998</v>
      </c>
      <c r="E276" s="7"/>
      <c r="F276" s="7" t="s">
        <v>999</v>
      </c>
      <c r="G276" s="7" t="s">
        <v>995</v>
      </c>
      <c r="H276" s="7" t="s">
        <v>1000</v>
      </c>
      <c r="I276" s="7" t="s">
        <v>265</v>
      </c>
      <c r="J276" s="8"/>
      <c r="K276" s="8"/>
      <c r="L276" s="22"/>
      <c r="M276" s="8"/>
      <c r="N276" s="13">
        <v>46151</v>
      </c>
      <c r="O276" s="9"/>
      <c r="P276" s="7" t="s">
        <v>48</v>
      </c>
      <c r="Q276" s="7" t="s">
        <v>266</v>
      </c>
      <c r="R276" s="7"/>
      <c r="S276" s="7"/>
      <c r="T276" s="7"/>
      <c r="U276" s="7"/>
    </row>
    <row r="277" spans="1:21" ht="16" customHeight="1">
      <c r="A277" s="7" t="s">
        <v>182</v>
      </c>
      <c r="B277" s="30" t="s">
        <v>71</v>
      </c>
      <c r="C277" s="7" t="s">
        <v>23</v>
      </c>
      <c r="D277" s="7" t="s">
        <v>1001</v>
      </c>
      <c r="E277" s="7"/>
      <c r="F277" s="7" t="s">
        <v>1002</v>
      </c>
      <c r="G277" s="7" t="s">
        <v>995</v>
      </c>
      <c r="H277" s="7" t="s">
        <v>1000</v>
      </c>
      <c r="I277" s="7" t="s">
        <v>265</v>
      </c>
      <c r="J277" s="8"/>
      <c r="K277" s="8"/>
      <c r="L277" s="22"/>
      <c r="M277" s="8"/>
      <c r="N277" s="13">
        <v>46151</v>
      </c>
      <c r="O277" s="9"/>
      <c r="P277" s="7" t="s">
        <v>48</v>
      </c>
      <c r="Q277" s="7" t="s">
        <v>266</v>
      </c>
      <c r="R277" s="7"/>
      <c r="S277" s="7"/>
      <c r="T277" s="7"/>
      <c r="U277" s="7"/>
    </row>
    <row r="278" spans="1:21" ht="32" customHeight="1">
      <c r="A278" s="7" t="s">
        <v>182</v>
      </c>
      <c r="B278" s="30" t="s">
        <v>71</v>
      </c>
      <c r="C278" s="7" t="s">
        <v>23</v>
      </c>
      <c r="D278" s="7" t="s">
        <v>710</v>
      </c>
      <c r="E278" s="7"/>
      <c r="F278" s="7" t="s">
        <v>1003</v>
      </c>
      <c r="G278" s="7" t="s">
        <v>986</v>
      </c>
      <c r="H278" s="7" t="s">
        <v>987</v>
      </c>
      <c r="I278" s="7" t="s">
        <v>265</v>
      </c>
      <c r="J278" s="8"/>
      <c r="K278" s="8"/>
      <c r="L278" s="22"/>
      <c r="M278" s="8"/>
      <c r="N278" s="13">
        <v>46151</v>
      </c>
      <c r="O278" s="9"/>
      <c r="P278" s="7" t="s">
        <v>48</v>
      </c>
      <c r="Q278" s="7" t="s">
        <v>266</v>
      </c>
      <c r="R278" s="7"/>
      <c r="S278" s="7"/>
      <c r="T278" s="7"/>
      <c r="U278" s="7"/>
    </row>
    <row r="279" spans="1:21" ht="64" customHeight="1">
      <c r="A279" s="7" t="s">
        <v>182</v>
      </c>
      <c r="B279" s="30" t="s">
        <v>71</v>
      </c>
      <c r="C279" s="7" t="s">
        <v>23</v>
      </c>
      <c r="D279" s="7" t="s">
        <v>261</v>
      </c>
      <c r="E279" s="7"/>
      <c r="F279" s="7" t="s">
        <v>1004</v>
      </c>
      <c r="G279" s="7" t="s">
        <v>1005</v>
      </c>
      <c r="H279" s="7" t="s">
        <v>1006</v>
      </c>
      <c r="I279" s="7" t="s">
        <v>265</v>
      </c>
      <c r="J279" s="8">
        <v>19</v>
      </c>
      <c r="K279" s="8"/>
      <c r="L279" s="22"/>
      <c r="M279" s="8"/>
      <c r="N279" s="13">
        <v>45746</v>
      </c>
      <c r="O279" s="9"/>
      <c r="P279" s="7" t="s">
        <v>48</v>
      </c>
      <c r="Q279" s="7" t="s">
        <v>266</v>
      </c>
      <c r="R279" s="7"/>
      <c r="S279" s="7"/>
      <c r="T279" s="7"/>
      <c r="U279" s="7"/>
    </row>
    <row r="280" spans="1:21" ht="32" customHeight="1">
      <c r="A280" s="7" t="s">
        <v>182</v>
      </c>
      <c r="B280" s="30" t="s">
        <v>71</v>
      </c>
      <c r="C280" s="7" t="s">
        <v>23</v>
      </c>
      <c r="D280" s="7" t="s">
        <v>318</v>
      </c>
      <c r="E280" s="7"/>
      <c r="F280" s="7" t="s">
        <v>1007</v>
      </c>
      <c r="G280" s="7" t="s">
        <v>1008</v>
      </c>
      <c r="H280" s="7" t="s">
        <v>1009</v>
      </c>
      <c r="I280" s="7" t="s">
        <v>265</v>
      </c>
      <c r="J280" s="8"/>
      <c r="K280" s="8"/>
      <c r="L280" s="22"/>
      <c r="M280" s="8"/>
      <c r="N280" s="13">
        <v>45861</v>
      </c>
      <c r="O280" s="9"/>
      <c r="P280" s="7" t="s">
        <v>48</v>
      </c>
      <c r="Q280" s="7" t="s">
        <v>266</v>
      </c>
      <c r="R280" s="7"/>
      <c r="S280" s="7"/>
      <c r="T280" s="7"/>
      <c r="U280" s="7"/>
    </row>
    <row r="281" spans="1:21" ht="32" customHeight="1">
      <c r="A281" s="7" t="s">
        <v>182</v>
      </c>
      <c r="B281" s="30" t="s">
        <v>71</v>
      </c>
      <c r="C281" s="7" t="s">
        <v>23</v>
      </c>
      <c r="D281" s="7" t="s">
        <v>356</v>
      </c>
      <c r="E281" s="7"/>
      <c r="F281" s="7" t="s">
        <v>1010</v>
      </c>
      <c r="G281" s="7" t="s">
        <v>1008</v>
      </c>
      <c r="H281" s="7" t="s">
        <v>1009</v>
      </c>
      <c r="I281" s="7" t="s">
        <v>265</v>
      </c>
      <c r="J281" s="8">
        <v>13</v>
      </c>
      <c r="K281" s="8"/>
      <c r="L281" s="22"/>
      <c r="M281" s="8"/>
      <c r="N281" s="13">
        <v>45840</v>
      </c>
      <c r="O281" s="9"/>
      <c r="P281" s="7" t="s">
        <v>48</v>
      </c>
      <c r="Q281" s="7" t="s">
        <v>266</v>
      </c>
      <c r="R281" s="7"/>
      <c r="S281" s="7"/>
      <c r="T281" s="7"/>
      <c r="U281" s="7"/>
    </row>
    <row r="282" spans="1:21" ht="48" customHeight="1">
      <c r="A282" s="7" t="s">
        <v>182</v>
      </c>
      <c r="B282" s="30" t="s">
        <v>71</v>
      </c>
      <c r="C282" s="7" t="s">
        <v>23</v>
      </c>
      <c r="D282" s="7" t="s">
        <v>261</v>
      </c>
      <c r="E282" s="7"/>
      <c r="F282" s="7" t="s">
        <v>1011</v>
      </c>
      <c r="G282" s="7" t="s">
        <v>740</v>
      </c>
      <c r="H282" s="7" t="s">
        <v>976</v>
      </c>
      <c r="I282" s="7" t="s">
        <v>265</v>
      </c>
      <c r="J282" s="8">
        <v>7</v>
      </c>
      <c r="K282" s="8"/>
      <c r="L282" s="22"/>
      <c r="M282" s="8"/>
      <c r="N282" s="13">
        <v>45758</v>
      </c>
      <c r="O282" s="9"/>
      <c r="P282" s="7" t="s">
        <v>48</v>
      </c>
      <c r="Q282" s="7" t="s">
        <v>266</v>
      </c>
      <c r="R282" s="7"/>
      <c r="S282" s="7"/>
      <c r="T282" s="7"/>
      <c r="U282" s="7"/>
    </row>
    <row r="283" spans="1:21" ht="32" customHeight="1">
      <c r="A283" s="7" t="s">
        <v>182</v>
      </c>
      <c r="B283" s="30" t="s">
        <v>98</v>
      </c>
      <c r="C283" s="7" t="s">
        <v>23</v>
      </c>
      <c r="D283" s="7" t="s">
        <v>261</v>
      </c>
      <c r="E283" s="7"/>
      <c r="F283" s="7" t="s">
        <v>1012</v>
      </c>
      <c r="G283" s="7" t="s">
        <v>1013</v>
      </c>
      <c r="H283" s="7" t="s">
        <v>1014</v>
      </c>
      <c r="I283" s="7" t="s">
        <v>265</v>
      </c>
      <c r="J283" s="8"/>
      <c r="K283" s="8"/>
      <c r="L283" s="22"/>
      <c r="M283" s="8"/>
      <c r="N283" s="13">
        <v>45803</v>
      </c>
      <c r="O283" s="9"/>
      <c r="P283" s="7" t="s">
        <v>48</v>
      </c>
      <c r="Q283" s="7" t="s">
        <v>266</v>
      </c>
      <c r="R283" s="7"/>
      <c r="S283" s="7"/>
      <c r="T283" s="7"/>
      <c r="U283" s="7"/>
    </row>
    <row r="284" spans="1:21" ht="48" customHeight="1">
      <c r="A284" s="7" t="s">
        <v>182</v>
      </c>
      <c r="B284" s="30" t="s">
        <v>71</v>
      </c>
      <c r="C284" s="7" t="s">
        <v>23</v>
      </c>
      <c r="D284" s="7" t="s">
        <v>356</v>
      </c>
      <c r="E284" s="7"/>
      <c r="F284" s="7" t="s">
        <v>1015</v>
      </c>
      <c r="G284" s="7" t="s">
        <v>1016</v>
      </c>
      <c r="H284" s="7" t="s">
        <v>1009</v>
      </c>
      <c r="I284" s="7" t="s">
        <v>265</v>
      </c>
      <c r="J284" s="8">
        <v>12</v>
      </c>
      <c r="K284" s="8"/>
      <c r="L284" s="22"/>
      <c r="M284" s="8"/>
      <c r="N284" s="13">
        <v>45861</v>
      </c>
      <c r="O284" s="9"/>
      <c r="P284" s="7" t="s">
        <v>48</v>
      </c>
      <c r="Q284" s="7" t="s">
        <v>266</v>
      </c>
      <c r="R284" s="7"/>
      <c r="S284" s="7"/>
      <c r="T284" s="7"/>
      <c r="U284" s="7"/>
    </row>
    <row r="285" spans="1:21" ht="48" customHeight="1">
      <c r="A285" s="7" t="s">
        <v>182</v>
      </c>
      <c r="B285" s="30" t="s">
        <v>98</v>
      </c>
      <c r="C285" s="7" t="s">
        <v>23</v>
      </c>
      <c r="D285" s="7" t="s">
        <v>356</v>
      </c>
      <c r="E285" s="7"/>
      <c r="F285" s="7" t="s">
        <v>1017</v>
      </c>
      <c r="G285" s="7" t="s">
        <v>1018</v>
      </c>
      <c r="H285" s="7" t="s">
        <v>1019</v>
      </c>
      <c r="I285" s="7" t="s">
        <v>265</v>
      </c>
      <c r="J285" s="8"/>
      <c r="K285" s="8"/>
      <c r="L285" s="22"/>
      <c r="M285" s="8"/>
      <c r="N285" s="13">
        <v>46179</v>
      </c>
      <c r="O285" s="9"/>
      <c r="P285" s="7" t="s">
        <v>48</v>
      </c>
      <c r="Q285" s="7" t="s">
        <v>266</v>
      </c>
      <c r="R285" s="7"/>
      <c r="S285" s="7"/>
      <c r="T285" s="7"/>
      <c r="U285" s="7"/>
    </row>
    <row r="286" spans="1:21" ht="32" customHeight="1">
      <c r="A286" s="7" t="s">
        <v>182</v>
      </c>
      <c r="B286" s="30" t="s">
        <v>71</v>
      </c>
      <c r="C286" s="7" t="s">
        <v>23</v>
      </c>
      <c r="D286" s="7" t="s">
        <v>696</v>
      </c>
      <c r="E286" s="7"/>
      <c r="F286" s="7" t="s">
        <v>1020</v>
      </c>
      <c r="G286" s="7" t="s">
        <v>1021</v>
      </c>
      <c r="H286" s="7" t="s">
        <v>1022</v>
      </c>
      <c r="I286" s="7" t="s">
        <v>265</v>
      </c>
      <c r="J286" s="8">
        <v>2</v>
      </c>
      <c r="K286" s="8"/>
      <c r="L286" s="22"/>
      <c r="M286" s="8"/>
      <c r="N286" s="13">
        <v>45810</v>
      </c>
      <c r="O286" s="9"/>
      <c r="P286" s="7" t="s">
        <v>48</v>
      </c>
      <c r="Q286" s="7" t="s">
        <v>266</v>
      </c>
      <c r="R286" s="7"/>
      <c r="S286" s="7"/>
      <c r="T286" s="7"/>
      <c r="U286" s="7"/>
    </row>
    <row r="287" spans="1:21" ht="48" customHeight="1">
      <c r="A287" s="7" t="s">
        <v>182</v>
      </c>
      <c r="B287" s="30" t="s">
        <v>71</v>
      </c>
      <c r="C287" s="7" t="s">
        <v>23</v>
      </c>
      <c r="D287" s="7" t="s">
        <v>1023</v>
      </c>
      <c r="E287" s="7"/>
      <c r="F287" s="7" t="s">
        <v>1024</v>
      </c>
      <c r="G287" s="7" t="s">
        <v>934</v>
      </c>
      <c r="H287" s="7" t="s">
        <v>1025</v>
      </c>
      <c r="I287" s="7" t="s">
        <v>265</v>
      </c>
      <c r="J287" s="8">
        <v>10</v>
      </c>
      <c r="K287" s="8"/>
      <c r="L287" s="22"/>
      <c r="M287" s="8"/>
      <c r="N287" s="13">
        <v>46179</v>
      </c>
      <c r="O287" s="9"/>
      <c r="P287" s="7" t="s">
        <v>48</v>
      </c>
      <c r="Q287" s="7" t="s">
        <v>266</v>
      </c>
      <c r="R287" s="7"/>
      <c r="S287" s="7"/>
      <c r="T287" s="7"/>
      <c r="U287" s="7"/>
    </row>
    <row r="288" spans="1:21" ht="48" customHeight="1">
      <c r="A288" s="7" t="s">
        <v>182</v>
      </c>
      <c r="B288" s="30" t="s">
        <v>71</v>
      </c>
      <c r="C288" s="7" t="s">
        <v>23</v>
      </c>
      <c r="D288" s="7" t="s">
        <v>746</v>
      </c>
      <c r="E288" s="7"/>
      <c r="F288" s="7" t="s">
        <v>1026</v>
      </c>
      <c r="G288" s="7" t="s">
        <v>981</v>
      </c>
      <c r="H288" s="7" t="s">
        <v>979</v>
      </c>
      <c r="I288" s="7" t="s">
        <v>265</v>
      </c>
      <c r="J288" s="8">
        <v>17</v>
      </c>
      <c r="K288" s="8"/>
      <c r="L288" s="22"/>
      <c r="M288" s="8"/>
      <c r="N288" s="13">
        <v>46216</v>
      </c>
      <c r="O288" s="9"/>
      <c r="P288" s="7" t="s">
        <v>48</v>
      </c>
      <c r="Q288" s="7" t="s">
        <v>266</v>
      </c>
      <c r="R288" s="7"/>
      <c r="S288" s="7"/>
      <c r="T288" s="7"/>
      <c r="U288" s="7"/>
    </row>
    <row r="289" spans="1:21" ht="64" customHeight="1">
      <c r="A289" s="7" t="s">
        <v>182</v>
      </c>
      <c r="B289" s="30" t="s">
        <v>71</v>
      </c>
      <c r="C289" s="7" t="s">
        <v>23</v>
      </c>
      <c r="D289" s="7" t="s">
        <v>1001</v>
      </c>
      <c r="E289" s="7"/>
      <c r="F289" s="7" t="s">
        <v>1027</v>
      </c>
      <c r="G289" s="7" t="s">
        <v>1028</v>
      </c>
      <c r="H289" s="7" t="s">
        <v>1029</v>
      </c>
      <c r="I289" s="7" t="s">
        <v>265</v>
      </c>
      <c r="J289" s="8">
        <v>3</v>
      </c>
      <c r="K289" s="8"/>
      <c r="L289" s="22"/>
      <c r="M289" s="8"/>
      <c r="N289" s="13">
        <v>46186</v>
      </c>
      <c r="O289" s="9"/>
      <c r="P289" s="7" t="s">
        <v>48</v>
      </c>
      <c r="Q289" s="7" t="s">
        <v>266</v>
      </c>
      <c r="R289" s="7"/>
      <c r="S289" s="7"/>
      <c r="T289" s="7"/>
      <c r="U289" s="7"/>
    </row>
    <row r="290" spans="1:21" ht="48" customHeight="1">
      <c r="A290" s="7" t="s">
        <v>182</v>
      </c>
      <c r="B290" s="30" t="s">
        <v>155</v>
      </c>
      <c r="C290" s="7" t="s">
        <v>23</v>
      </c>
      <c r="D290" s="7" t="s">
        <v>1030</v>
      </c>
      <c r="E290" s="7"/>
      <c r="F290" s="7" t="s">
        <v>1031</v>
      </c>
      <c r="G290" s="7" t="s">
        <v>1032</v>
      </c>
      <c r="H290" s="7" t="s">
        <v>1033</v>
      </c>
      <c r="I290" s="7" t="s">
        <v>1034</v>
      </c>
      <c r="J290" s="8">
        <v>1</v>
      </c>
      <c r="K290" s="8">
        <v>633</v>
      </c>
      <c r="L290" s="24">
        <f>WorkmanshipResultsTable[[#This Row],[Number of Failed Units]]/WorkmanshipResultsTable[[#This Row],[Total Units Built]]</f>
        <v>1.5797788309636651E-3</v>
      </c>
      <c r="M290" s="8" t="s">
        <v>1035</v>
      </c>
      <c r="N290" s="13">
        <v>45897</v>
      </c>
      <c r="O290" s="9" t="s">
        <v>195</v>
      </c>
      <c r="P290" s="9" t="s">
        <v>205</v>
      </c>
      <c r="Q290" s="7" t="s">
        <v>771</v>
      </c>
      <c r="R290" s="7"/>
      <c r="S290" s="7"/>
      <c r="T290" s="7"/>
      <c r="U290" s="7"/>
    </row>
    <row r="291" spans="1:21" ht="64" customHeight="1">
      <c r="A291" s="7" t="s">
        <v>182</v>
      </c>
      <c r="B291" s="30" t="s">
        <v>71</v>
      </c>
      <c r="C291" s="7" t="s">
        <v>23</v>
      </c>
      <c r="D291" s="7" t="s">
        <v>356</v>
      </c>
      <c r="E291" s="7"/>
      <c r="F291" s="7" t="s">
        <v>1036</v>
      </c>
      <c r="G291" s="7" t="s">
        <v>1037</v>
      </c>
      <c r="H291" s="7" t="s">
        <v>1038</v>
      </c>
      <c r="I291" s="7" t="s">
        <v>265</v>
      </c>
      <c r="J291" s="8"/>
      <c r="K291" s="8"/>
      <c r="L291" s="22"/>
      <c r="M291" s="8"/>
      <c r="N291" s="13">
        <v>46205</v>
      </c>
      <c r="O291" s="9"/>
      <c r="P291" s="7" t="s">
        <v>48</v>
      </c>
      <c r="Q291" s="7" t="s">
        <v>266</v>
      </c>
      <c r="R291" s="7"/>
      <c r="S291" s="7"/>
      <c r="T291" s="7"/>
      <c r="U291" s="7"/>
    </row>
    <row r="292" spans="1:21" ht="48" customHeight="1">
      <c r="A292" s="7" t="s">
        <v>182</v>
      </c>
      <c r="B292" s="30" t="s">
        <v>105</v>
      </c>
      <c r="C292" s="7" t="s">
        <v>23</v>
      </c>
      <c r="D292" s="7" t="s">
        <v>261</v>
      </c>
      <c r="E292" s="7"/>
      <c r="F292" s="7" t="s">
        <v>1039</v>
      </c>
      <c r="G292" s="7" t="s">
        <v>1040</v>
      </c>
      <c r="H292" s="7" t="s">
        <v>1041</v>
      </c>
      <c r="I292" s="7" t="s">
        <v>1034</v>
      </c>
      <c r="J292" s="8">
        <v>1</v>
      </c>
      <c r="K292" s="8">
        <v>657</v>
      </c>
      <c r="L292" s="24">
        <f>WorkmanshipResultsTable[[#This Row],[Number of Failed Units]]/WorkmanshipResultsTable[[#This Row],[Total Units Built]]</f>
        <v>1.5220700152207001E-3</v>
      </c>
      <c r="M292" s="8" t="s">
        <v>1042</v>
      </c>
      <c r="N292" s="13">
        <v>45910</v>
      </c>
      <c r="O292" s="9" t="s">
        <v>195</v>
      </c>
      <c r="P292" s="9" t="s">
        <v>205</v>
      </c>
      <c r="Q292" s="7" t="s">
        <v>771</v>
      </c>
      <c r="R292" s="7"/>
      <c r="S292" s="7"/>
      <c r="T292" s="7"/>
      <c r="U292" s="7"/>
    </row>
    <row r="293" spans="1:21" ht="64" customHeight="1">
      <c r="A293" s="7" t="s">
        <v>182</v>
      </c>
      <c r="B293" s="30" t="s">
        <v>326</v>
      </c>
      <c r="C293" s="7" t="s">
        <v>23</v>
      </c>
      <c r="D293" s="7" t="s">
        <v>696</v>
      </c>
      <c r="E293" s="7" t="s">
        <v>1043</v>
      </c>
      <c r="F293" s="7" t="s">
        <v>1044</v>
      </c>
      <c r="G293" s="7" t="s">
        <v>1045</v>
      </c>
      <c r="H293" s="7" t="s">
        <v>688</v>
      </c>
      <c r="I293" s="7" t="s">
        <v>1046</v>
      </c>
      <c r="J293" s="8">
        <v>1</v>
      </c>
      <c r="K293" s="8">
        <v>595</v>
      </c>
      <c r="L293" s="24">
        <f>WorkmanshipResultsTable[[#This Row],[Number of Failed Units]]/WorkmanshipResultsTable[[#This Row],[Total Units Built]]</f>
        <v>1.6806722689075631E-3</v>
      </c>
      <c r="M293" s="8" t="s">
        <v>1047</v>
      </c>
      <c r="N293" s="13">
        <v>45924</v>
      </c>
      <c r="O293" s="9" t="s">
        <v>195</v>
      </c>
      <c r="P293" s="9" t="s">
        <v>205</v>
      </c>
      <c r="Q293" s="7" t="s">
        <v>673</v>
      </c>
      <c r="R293" s="7"/>
      <c r="S293" s="7"/>
      <c r="T293" s="7"/>
      <c r="U293" s="7"/>
    </row>
    <row r="294" spans="1:21" ht="48" customHeight="1">
      <c r="A294" s="7" t="s">
        <v>311</v>
      </c>
      <c r="B294" s="30" t="s">
        <v>71</v>
      </c>
      <c r="C294" s="7" t="s">
        <v>40</v>
      </c>
      <c r="D294" s="7" t="s">
        <v>209</v>
      </c>
      <c r="E294" s="7" t="s">
        <v>210</v>
      </c>
      <c r="F294" s="7"/>
      <c r="G294" s="7" t="s">
        <v>1048</v>
      </c>
      <c r="H294" s="7" t="s">
        <v>1049</v>
      </c>
      <c r="I294" s="7" t="s">
        <v>194</v>
      </c>
      <c r="J294" s="8">
        <v>2</v>
      </c>
      <c r="K294" s="8">
        <v>215</v>
      </c>
      <c r="L294" s="24">
        <f>WorkmanshipResultsTable[[#This Row],[Number of Failed Units]]/WorkmanshipResultsTable[[#This Row],[Total Units Built]]</f>
        <v>9.3023255813953487E-3</v>
      </c>
      <c r="M294" s="8"/>
      <c r="N294" s="13">
        <v>46180</v>
      </c>
      <c r="O294" s="9" t="s">
        <v>47</v>
      </c>
      <c r="P294" s="7" t="s">
        <v>48</v>
      </c>
      <c r="Q294" s="7" t="s">
        <v>196</v>
      </c>
      <c r="R294" s="7"/>
      <c r="S294" s="7" t="s">
        <v>316</v>
      </c>
      <c r="T294" s="7"/>
      <c r="U294" s="7"/>
    </row>
    <row r="295" spans="1:21" ht="48" customHeight="1">
      <c r="A295" s="7" t="s">
        <v>182</v>
      </c>
      <c r="B295" s="30" t="s">
        <v>1273</v>
      </c>
      <c r="C295" s="7" t="s">
        <v>23</v>
      </c>
      <c r="D295" s="7" t="s">
        <v>700</v>
      </c>
      <c r="E295" s="7"/>
      <c r="F295" s="7" t="s">
        <v>1050</v>
      </c>
      <c r="G295" s="7" t="s">
        <v>1051</v>
      </c>
      <c r="H295" s="7" t="s">
        <v>1019</v>
      </c>
      <c r="I295" s="7" t="s">
        <v>265</v>
      </c>
      <c r="J295" s="8">
        <v>11</v>
      </c>
      <c r="K295" s="8"/>
      <c r="L295" s="22"/>
      <c r="M295" s="8"/>
      <c r="N295" s="13">
        <v>46214</v>
      </c>
      <c r="O295" s="9"/>
      <c r="P295" s="7" t="s">
        <v>48</v>
      </c>
      <c r="Q295" s="7" t="s">
        <v>266</v>
      </c>
      <c r="R295" s="7"/>
      <c r="S295" s="7"/>
      <c r="T295" s="7"/>
      <c r="U295" s="7"/>
    </row>
    <row r="296" spans="1:21" ht="80" customHeight="1">
      <c r="A296" s="7" t="s">
        <v>182</v>
      </c>
      <c r="B296" s="30" t="s">
        <v>98</v>
      </c>
      <c r="C296" s="7" t="s">
        <v>23</v>
      </c>
      <c r="D296" s="7" t="s">
        <v>1052</v>
      </c>
      <c r="E296" s="7"/>
      <c r="F296" s="7" t="s">
        <v>1053</v>
      </c>
      <c r="G296" s="7" t="s">
        <v>1054</v>
      </c>
      <c r="H296" s="7" t="s">
        <v>1055</v>
      </c>
      <c r="I296" s="7" t="s">
        <v>188</v>
      </c>
      <c r="J296" s="8">
        <v>1</v>
      </c>
      <c r="K296" s="8"/>
      <c r="L296" s="22"/>
      <c r="M296" s="8" t="s">
        <v>1056</v>
      </c>
      <c r="N296" s="13">
        <v>46031</v>
      </c>
      <c r="O296" s="9"/>
      <c r="P296" s="9" t="s">
        <v>205</v>
      </c>
      <c r="Q296" s="7" t="s">
        <v>771</v>
      </c>
      <c r="R296" s="7"/>
      <c r="S296" s="7"/>
      <c r="T296" s="7"/>
      <c r="U296" s="7"/>
    </row>
    <row r="297" spans="1:21" ht="96" customHeight="1">
      <c r="A297" s="7" t="s">
        <v>182</v>
      </c>
      <c r="B297" s="30" t="s">
        <v>208</v>
      </c>
      <c r="C297" s="7" t="s">
        <v>23</v>
      </c>
      <c r="D297" s="7" t="s">
        <v>261</v>
      </c>
      <c r="E297" s="7"/>
      <c r="F297" s="7" t="s">
        <v>1057</v>
      </c>
      <c r="G297" s="7" t="s">
        <v>1058</v>
      </c>
      <c r="H297" s="7" t="s">
        <v>1059</v>
      </c>
      <c r="I297" s="7" t="s">
        <v>265</v>
      </c>
      <c r="J297" s="8">
        <v>5</v>
      </c>
      <c r="K297" s="8"/>
      <c r="L297" s="22"/>
      <c r="M297" s="8"/>
      <c r="N297" s="13">
        <v>46065</v>
      </c>
      <c r="O297" s="9"/>
      <c r="P297" s="7" t="s">
        <v>48</v>
      </c>
      <c r="Q297" s="7" t="s">
        <v>266</v>
      </c>
      <c r="R297" s="7"/>
      <c r="S297" s="7"/>
      <c r="T297" s="7"/>
      <c r="U297" s="7"/>
    </row>
    <row r="298" spans="1:21" ht="80" customHeight="1">
      <c r="A298" s="7" t="s">
        <v>182</v>
      </c>
      <c r="B298" s="30" t="s">
        <v>71</v>
      </c>
      <c r="C298" s="7" t="s">
        <v>23</v>
      </c>
      <c r="D298" s="7" t="s">
        <v>700</v>
      </c>
      <c r="E298" s="7"/>
      <c r="F298" s="7" t="s">
        <v>1050</v>
      </c>
      <c r="G298" s="7" t="s">
        <v>1060</v>
      </c>
      <c r="H298" s="7" t="s">
        <v>1061</v>
      </c>
      <c r="I298" s="7" t="s">
        <v>265</v>
      </c>
      <c r="J298" s="8">
        <v>11</v>
      </c>
      <c r="K298" s="8"/>
      <c r="L298" s="22"/>
      <c r="M298" s="8"/>
      <c r="N298" s="13">
        <v>46221</v>
      </c>
      <c r="O298" s="9"/>
      <c r="P298" s="7" t="s">
        <v>48</v>
      </c>
      <c r="Q298" s="7" t="s">
        <v>266</v>
      </c>
      <c r="R298" s="7"/>
      <c r="S298" s="7"/>
      <c r="T298" s="7"/>
      <c r="U298" s="7"/>
    </row>
    <row r="299" spans="1:21" ht="33" customHeight="1">
      <c r="A299" s="7" t="s">
        <v>182</v>
      </c>
      <c r="B299" s="30" t="s">
        <v>208</v>
      </c>
      <c r="C299" s="7" t="s">
        <v>23</v>
      </c>
      <c r="D299" s="7" t="s">
        <v>696</v>
      </c>
      <c r="E299" s="7"/>
      <c r="F299" s="7" t="s">
        <v>1062</v>
      </c>
      <c r="G299" s="7" t="s">
        <v>1063</v>
      </c>
      <c r="H299" s="7" t="s">
        <v>1064</v>
      </c>
      <c r="I299" s="7" t="s">
        <v>265</v>
      </c>
      <c r="J299" s="8">
        <v>4</v>
      </c>
      <c r="K299" s="8"/>
      <c r="L299" s="22"/>
      <c r="M299" s="8"/>
      <c r="N299" s="13">
        <v>46078</v>
      </c>
      <c r="O299" s="9"/>
      <c r="P299" s="7" t="s">
        <v>48</v>
      </c>
      <c r="Q299" s="7" t="s">
        <v>266</v>
      </c>
      <c r="R299" s="7"/>
      <c r="S299" s="7"/>
      <c r="T299" s="7"/>
      <c r="U299" s="7"/>
    </row>
    <row r="300" spans="1:21" ht="96" customHeight="1">
      <c r="A300" s="7" t="s">
        <v>182</v>
      </c>
      <c r="B300" s="30" t="s">
        <v>208</v>
      </c>
      <c r="C300" s="7" t="s">
        <v>23</v>
      </c>
      <c r="D300" s="7" t="s">
        <v>696</v>
      </c>
      <c r="E300" s="7"/>
      <c r="F300" s="7" t="s">
        <v>1065</v>
      </c>
      <c r="G300" s="7" t="s">
        <v>1066</v>
      </c>
      <c r="H300" s="7" t="s">
        <v>1067</v>
      </c>
      <c r="I300" s="7" t="s">
        <v>265</v>
      </c>
      <c r="J300" s="8">
        <v>2</v>
      </c>
      <c r="K300" s="8"/>
      <c r="L300" s="22"/>
      <c r="M300" s="8"/>
      <c r="N300" s="13">
        <v>46101</v>
      </c>
      <c r="O300" s="9" t="s">
        <v>1068</v>
      </c>
      <c r="P300" s="7" t="s">
        <v>48</v>
      </c>
      <c r="Q300" s="7" t="s">
        <v>266</v>
      </c>
      <c r="R300" s="7"/>
      <c r="S300" s="7"/>
      <c r="T300" s="7"/>
      <c r="U300" s="7"/>
    </row>
    <row r="301" spans="1:21" ht="35" customHeight="1">
      <c r="A301" s="7" t="s">
        <v>182</v>
      </c>
      <c r="B301" s="30" t="s">
        <v>208</v>
      </c>
      <c r="C301" s="7" t="s">
        <v>23</v>
      </c>
      <c r="D301" s="7" t="s">
        <v>261</v>
      </c>
      <c r="E301" s="7"/>
      <c r="F301" s="7" t="s">
        <v>1069</v>
      </c>
      <c r="G301" s="7" t="s">
        <v>995</v>
      </c>
      <c r="H301" s="7" t="s">
        <v>1000</v>
      </c>
      <c r="I301" s="7" t="s">
        <v>265</v>
      </c>
      <c r="J301" s="8">
        <v>3</v>
      </c>
      <c r="K301" s="8"/>
      <c r="L301" s="22"/>
      <c r="M301" s="8"/>
      <c r="N301" s="13">
        <v>46109</v>
      </c>
      <c r="O301" s="9"/>
      <c r="P301" s="7" t="s">
        <v>48</v>
      </c>
      <c r="Q301" s="7" t="s">
        <v>266</v>
      </c>
      <c r="R301" s="7"/>
      <c r="S301" s="7"/>
      <c r="T301" s="7"/>
      <c r="U301" s="7"/>
    </row>
    <row r="302" spans="1:21" ht="112" customHeight="1">
      <c r="A302" s="7" t="s">
        <v>182</v>
      </c>
      <c r="B302" s="30" t="s">
        <v>1273</v>
      </c>
      <c r="C302" s="7" t="s">
        <v>23</v>
      </c>
      <c r="D302" s="7" t="s">
        <v>696</v>
      </c>
      <c r="E302" s="7"/>
      <c r="F302" s="7" t="s">
        <v>1070</v>
      </c>
      <c r="G302" s="7" t="s">
        <v>1071</v>
      </c>
      <c r="H302" s="7" t="s">
        <v>1072</v>
      </c>
      <c r="I302" s="7" t="s">
        <v>265</v>
      </c>
      <c r="J302" s="8">
        <v>4</v>
      </c>
      <c r="K302" s="8"/>
      <c r="L302" s="22"/>
      <c r="M302" s="8"/>
      <c r="N302" s="13">
        <v>46116</v>
      </c>
      <c r="O302" s="9"/>
      <c r="P302" s="7" t="s">
        <v>48</v>
      </c>
      <c r="Q302" s="7" t="s">
        <v>266</v>
      </c>
      <c r="R302" s="7"/>
      <c r="S302" s="7"/>
      <c r="T302" s="7"/>
      <c r="U302" s="7"/>
    </row>
    <row r="303" spans="1:21" ht="32" customHeight="1">
      <c r="A303" s="7" t="s">
        <v>182</v>
      </c>
      <c r="B303" s="30" t="s">
        <v>1273</v>
      </c>
      <c r="C303" s="7" t="s">
        <v>23</v>
      </c>
      <c r="D303" s="7" t="s">
        <v>700</v>
      </c>
      <c r="E303" s="7"/>
      <c r="F303" s="7" t="s">
        <v>1073</v>
      </c>
      <c r="G303" s="7" t="s">
        <v>1074</v>
      </c>
      <c r="H303" s="7" t="s">
        <v>1075</v>
      </c>
      <c r="I303" s="7" t="s">
        <v>265</v>
      </c>
      <c r="J303" s="8">
        <v>6</v>
      </c>
      <c r="K303" s="8"/>
      <c r="L303" s="22"/>
      <c r="M303" s="8"/>
      <c r="N303" s="13">
        <v>46249</v>
      </c>
      <c r="O303" s="9" t="s">
        <v>1068</v>
      </c>
      <c r="P303" s="7" t="s">
        <v>48</v>
      </c>
      <c r="Q303" s="7" t="s">
        <v>266</v>
      </c>
      <c r="R303" s="7"/>
      <c r="S303" s="7"/>
      <c r="T303" s="7"/>
      <c r="U303" s="7"/>
    </row>
    <row r="304" spans="1:21" ht="48" customHeight="1">
      <c r="A304" s="7" t="s">
        <v>182</v>
      </c>
      <c r="B304" s="30" t="s">
        <v>208</v>
      </c>
      <c r="C304" s="7" t="s">
        <v>23</v>
      </c>
      <c r="D304" s="7" t="s">
        <v>700</v>
      </c>
      <c r="E304" s="7"/>
      <c r="F304" s="7" t="s">
        <v>1076</v>
      </c>
      <c r="G304" s="7" t="s">
        <v>1077</v>
      </c>
      <c r="H304" s="7" t="s">
        <v>1075</v>
      </c>
      <c r="I304" s="7" t="s">
        <v>265</v>
      </c>
      <c r="J304" s="8">
        <v>3</v>
      </c>
      <c r="K304" s="8"/>
      <c r="L304" s="22"/>
      <c r="M304" s="8"/>
      <c r="N304" s="13">
        <v>46249</v>
      </c>
      <c r="O304" s="9" t="s">
        <v>1068</v>
      </c>
      <c r="P304" s="7" t="s">
        <v>48</v>
      </c>
      <c r="Q304" s="7" t="s">
        <v>266</v>
      </c>
      <c r="R304" s="7"/>
      <c r="S304" s="7"/>
      <c r="T304" s="7"/>
      <c r="U304" s="7"/>
    </row>
    <row r="305" spans="1:21" ht="96" customHeight="1">
      <c r="A305" s="7" t="s">
        <v>182</v>
      </c>
      <c r="B305" s="30" t="s">
        <v>71</v>
      </c>
      <c r="C305" s="7" t="s">
        <v>23</v>
      </c>
      <c r="D305" s="7" t="s">
        <v>696</v>
      </c>
      <c r="E305" s="7"/>
      <c r="F305" s="7" t="s">
        <v>1078</v>
      </c>
      <c r="G305" s="7" t="s">
        <v>1079</v>
      </c>
      <c r="H305" s="7" t="s">
        <v>1080</v>
      </c>
      <c r="I305" s="7" t="s">
        <v>265</v>
      </c>
      <c r="J305" s="8">
        <v>9</v>
      </c>
      <c r="K305" s="8"/>
      <c r="L305" s="22"/>
      <c r="M305" s="8"/>
      <c r="N305" s="13">
        <v>46120</v>
      </c>
      <c r="O305" s="9" t="s">
        <v>1068</v>
      </c>
      <c r="P305" s="7" t="s">
        <v>48</v>
      </c>
      <c r="Q305" s="7" t="s">
        <v>266</v>
      </c>
      <c r="R305" s="7"/>
      <c r="S305" s="7"/>
      <c r="T305" s="7"/>
      <c r="U305" s="7"/>
    </row>
    <row r="306" spans="1:21" ht="32" customHeight="1">
      <c r="A306" s="7" t="s">
        <v>182</v>
      </c>
      <c r="B306" s="30" t="s">
        <v>71</v>
      </c>
      <c r="C306" s="7" t="s">
        <v>23</v>
      </c>
      <c r="D306" s="7" t="s">
        <v>261</v>
      </c>
      <c r="E306" s="7"/>
      <c r="F306" s="7" t="s">
        <v>1081</v>
      </c>
      <c r="G306" s="7" t="s">
        <v>995</v>
      </c>
      <c r="H306" s="7" t="s">
        <v>1025</v>
      </c>
      <c r="I306" s="7" t="s">
        <v>265</v>
      </c>
      <c r="J306" s="8">
        <v>10</v>
      </c>
      <c r="K306" s="8"/>
      <c r="L306" s="22"/>
      <c r="M306" s="8"/>
      <c r="N306" s="13">
        <v>46179</v>
      </c>
      <c r="O306" s="9"/>
      <c r="P306" s="7" t="s">
        <v>48</v>
      </c>
      <c r="Q306" s="7" t="s">
        <v>266</v>
      </c>
      <c r="R306" s="7"/>
      <c r="S306" s="7"/>
      <c r="T306" s="7"/>
      <c r="U306" s="7"/>
    </row>
    <row r="307" spans="1:21" ht="48" customHeight="1">
      <c r="A307" s="7" t="s">
        <v>182</v>
      </c>
      <c r="B307" s="30" t="s">
        <v>82</v>
      </c>
      <c r="C307" s="7" t="s">
        <v>23</v>
      </c>
      <c r="D307" s="7" t="s">
        <v>750</v>
      </c>
      <c r="E307" s="7"/>
      <c r="F307" s="7" t="s">
        <v>1082</v>
      </c>
      <c r="G307" s="7" t="s">
        <v>1083</v>
      </c>
      <c r="H307" s="7" t="s">
        <v>1084</v>
      </c>
      <c r="I307" s="7" t="s">
        <v>265</v>
      </c>
      <c r="J307" s="8">
        <v>6</v>
      </c>
      <c r="K307" s="8"/>
      <c r="L307" s="22"/>
      <c r="M307" s="8"/>
      <c r="N307" s="13">
        <v>46256</v>
      </c>
      <c r="O307" s="9" t="s">
        <v>1068</v>
      </c>
      <c r="P307" s="7" t="s">
        <v>48</v>
      </c>
      <c r="Q307" s="7" t="s">
        <v>266</v>
      </c>
      <c r="R307" s="7"/>
      <c r="S307" s="7"/>
      <c r="T307" s="7"/>
      <c r="U307" s="7"/>
    </row>
    <row r="308" spans="1:21" ht="96" customHeight="1">
      <c r="A308" s="7" t="s">
        <v>182</v>
      </c>
      <c r="B308" s="30" t="s">
        <v>71</v>
      </c>
      <c r="C308" s="7" t="s">
        <v>23</v>
      </c>
      <c r="D308" s="7" t="s">
        <v>696</v>
      </c>
      <c r="E308" s="7"/>
      <c r="F308" s="7" t="s">
        <v>1020</v>
      </c>
      <c r="G308" s="7" t="s">
        <v>1005</v>
      </c>
      <c r="H308" s="7" t="s">
        <v>1085</v>
      </c>
      <c r="I308" s="7" t="s">
        <v>265</v>
      </c>
      <c r="J308" s="8"/>
      <c r="K308" s="8"/>
      <c r="L308" s="22"/>
      <c r="M308" s="8"/>
      <c r="N308" s="13">
        <v>46179</v>
      </c>
      <c r="O308" s="9"/>
      <c r="P308" s="7" t="s">
        <v>48</v>
      </c>
      <c r="Q308" s="7" t="s">
        <v>266</v>
      </c>
      <c r="R308" s="7"/>
      <c r="S308" s="7"/>
      <c r="T308" s="7"/>
      <c r="U308" s="7"/>
    </row>
    <row r="309" spans="1:21" ht="80" customHeight="1">
      <c r="A309" s="7" t="s">
        <v>182</v>
      </c>
      <c r="B309" s="30" t="s">
        <v>71</v>
      </c>
      <c r="C309" s="7" t="s">
        <v>23</v>
      </c>
      <c r="D309" s="7" t="s">
        <v>696</v>
      </c>
      <c r="E309" s="7"/>
      <c r="F309" s="7" t="s">
        <v>1086</v>
      </c>
      <c r="G309" s="7" t="s">
        <v>1087</v>
      </c>
      <c r="H309" s="7" t="s">
        <v>1000</v>
      </c>
      <c r="I309" s="7" t="s">
        <v>265</v>
      </c>
      <c r="J309" s="8"/>
      <c r="K309" s="8"/>
      <c r="L309" s="22"/>
      <c r="M309" s="8"/>
      <c r="N309" s="13">
        <v>46205</v>
      </c>
      <c r="O309" s="9"/>
      <c r="P309" s="7" t="s">
        <v>48</v>
      </c>
      <c r="Q309" s="7" t="s">
        <v>266</v>
      </c>
      <c r="R309" s="7"/>
      <c r="S309" s="7"/>
      <c r="T309" s="7"/>
      <c r="U309" s="7"/>
    </row>
    <row r="310" spans="1:21" ht="64" customHeight="1">
      <c r="A310" s="7" t="s">
        <v>182</v>
      </c>
      <c r="B310" s="30" t="s">
        <v>1273</v>
      </c>
      <c r="C310" s="7" t="s">
        <v>23</v>
      </c>
      <c r="D310" s="7" t="s">
        <v>696</v>
      </c>
      <c r="E310" s="7"/>
      <c r="F310" s="7" t="s">
        <v>1088</v>
      </c>
      <c r="G310" s="7" t="s">
        <v>1089</v>
      </c>
      <c r="H310" s="7" t="s">
        <v>1090</v>
      </c>
      <c r="I310" s="7" t="s">
        <v>265</v>
      </c>
      <c r="J310" s="8"/>
      <c r="K310" s="8"/>
      <c r="L310" s="22"/>
      <c r="M310" s="8"/>
      <c r="N310" s="13">
        <v>46206</v>
      </c>
      <c r="O310" s="9"/>
      <c r="P310" s="7" t="s">
        <v>48</v>
      </c>
      <c r="Q310" s="7" t="s">
        <v>266</v>
      </c>
      <c r="R310" s="7"/>
      <c r="S310" s="7"/>
      <c r="T310" s="7"/>
      <c r="U310" s="7"/>
    </row>
    <row r="311" spans="1:21" ht="208" customHeight="1">
      <c r="A311" s="7" t="s">
        <v>182</v>
      </c>
      <c r="B311" s="30" t="s">
        <v>71</v>
      </c>
      <c r="C311" s="7" t="s">
        <v>23</v>
      </c>
      <c r="D311" s="7" t="s">
        <v>1091</v>
      </c>
      <c r="E311" s="7"/>
      <c r="F311" s="7" t="s">
        <v>1092</v>
      </c>
      <c r="G311" s="7" t="s">
        <v>1093</v>
      </c>
      <c r="H311" s="7" t="s">
        <v>1094</v>
      </c>
      <c r="I311" s="7" t="s">
        <v>265</v>
      </c>
      <c r="J311" s="8">
        <v>18</v>
      </c>
      <c r="K311" s="8"/>
      <c r="L311" s="22"/>
      <c r="M311" s="8"/>
      <c r="N311" s="13">
        <v>46262</v>
      </c>
      <c r="O311" s="9"/>
      <c r="P311" s="7" t="s">
        <v>48</v>
      </c>
      <c r="Q311" s="7" t="s">
        <v>266</v>
      </c>
      <c r="R311" s="7"/>
      <c r="S311" s="7"/>
      <c r="T311" s="7"/>
      <c r="U311" s="7"/>
    </row>
    <row r="312" spans="1:21" ht="128" customHeight="1">
      <c r="A312" s="7" t="s">
        <v>182</v>
      </c>
      <c r="B312" s="30" t="s">
        <v>1273</v>
      </c>
      <c r="C312" s="7" t="s">
        <v>23</v>
      </c>
      <c r="D312" s="7" t="s">
        <v>1095</v>
      </c>
      <c r="E312" s="7"/>
      <c r="F312" s="7" t="s">
        <v>1096</v>
      </c>
      <c r="G312" s="7" t="s">
        <v>1097</v>
      </c>
      <c r="H312" s="7" t="s">
        <v>1098</v>
      </c>
      <c r="I312" s="7" t="s">
        <v>265</v>
      </c>
      <c r="J312" s="8">
        <v>12</v>
      </c>
      <c r="K312" s="8"/>
      <c r="L312" s="22"/>
      <c r="M312" s="8"/>
      <c r="N312" s="13">
        <v>46264</v>
      </c>
      <c r="O312" s="9"/>
      <c r="P312" s="7" t="s">
        <v>48</v>
      </c>
      <c r="Q312" s="7" t="s">
        <v>266</v>
      </c>
      <c r="R312" s="7"/>
      <c r="S312" s="7"/>
      <c r="T312" s="7"/>
      <c r="U312" s="7"/>
    </row>
    <row r="313" spans="1:21" ht="64" customHeight="1">
      <c r="A313" s="7" t="s">
        <v>182</v>
      </c>
      <c r="B313" s="30" t="s">
        <v>1273</v>
      </c>
      <c r="C313" s="7" t="s">
        <v>23</v>
      </c>
      <c r="D313" s="7" t="s">
        <v>696</v>
      </c>
      <c r="E313" s="7"/>
      <c r="F313" s="7" t="s">
        <v>1099</v>
      </c>
      <c r="G313" s="7" t="s">
        <v>1100</v>
      </c>
      <c r="H313" s="7" t="s">
        <v>1101</v>
      </c>
      <c r="I313" s="7" t="s">
        <v>265</v>
      </c>
      <c r="J313" s="8">
        <v>41</v>
      </c>
      <c r="K313" s="8"/>
      <c r="L313" s="22"/>
      <c r="M313" s="8"/>
      <c r="N313" s="13">
        <v>46206</v>
      </c>
      <c r="O313" s="9"/>
      <c r="P313" s="7" t="s">
        <v>48</v>
      </c>
      <c r="Q313" s="7" t="s">
        <v>266</v>
      </c>
      <c r="R313" s="7"/>
      <c r="S313" s="7"/>
      <c r="T313" s="7"/>
      <c r="U313" s="7"/>
    </row>
    <row r="314" spans="1:21" ht="16" customHeight="1">
      <c r="A314" s="7" t="s">
        <v>182</v>
      </c>
      <c r="B314" s="31"/>
      <c r="C314" s="7" t="s">
        <v>23</v>
      </c>
      <c r="D314" s="7" t="s">
        <v>696</v>
      </c>
      <c r="E314" s="7"/>
      <c r="F314" s="7" t="s">
        <v>1102</v>
      </c>
      <c r="G314" s="7" t="s">
        <v>1103</v>
      </c>
      <c r="H314" s="7" t="s">
        <v>1104</v>
      </c>
      <c r="I314" s="7" t="s">
        <v>265</v>
      </c>
      <c r="J314" s="8">
        <v>15</v>
      </c>
      <c r="K314" s="8"/>
      <c r="L314" s="22"/>
      <c r="M314" s="8"/>
      <c r="N314" s="13">
        <v>46206</v>
      </c>
      <c r="O314" s="9"/>
      <c r="P314" s="7" t="s">
        <v>48</v>
      </c>
      <c r="Q314" s="7" t="s">
        <v>266</v>
      </c>
      <c r="R314" s="7"/>
      <c r="S314" s="7"/>
      <c r="T314" s="7"/>
      <c r="U314" s="7"/>
    </row>
    <row r="315" spans="1:21" ht="48" customHeight="1">
      <c r="A315" s="7" t="s">
        <v>182</v>
      </c>
      <c r="B315" s="30" t="s">
        <v>1273</v>
      </c>
      <c r="C315" s="7" t="s">
        <v>23</v>
      </c>
      <c r="D315" s="7" t="s">
        <v>949</v>
      </c>
      <c r="E315" s="7"/>
      <c r="F315" s="7" t="s">
        <v>1105</v>
      </c>
      <c r="G315" s="7" t="s">
        <v>1106</v>
      </c>
      <c r="H315" s="7" t="s">
        <v>1107</v>
      </c>
      <c r="I315" s="7" t="s">
        <v>265</v>
      </c>
      <c r="J315" s="8">
        <v>6</v>
      </c>
      <c r="K315" s="8"/>
      <c r="L315" s="22"/>
      <c r="M315" s="8"/>
      <c r="N315" s="13">
        <v>46289</v>
      </c>
      <c r="O315" s="9" t="s">
        <v>1108</v>
      </c>
      <c r="P315" s="7" t="s">
        <v>48</v>
      </c>
      <c r="Q315" s="7" t="s">
        <v>266</v>
      </c>
      <c r="R315" s="7"/>
      <c r="S315" s="7"/>
      <c r="T315" s="7"/>
      <c r="U315" s="7"/>
    </row>
    <row r="316" spans="1:21" ht="32" customHeight="1">
      <c r="A316" s="7" t="s">
        <v>182</v>
      </c>
      <c r="B316" s="30" t="s">
        <v>71</v>
      </c>
      <c r="C316" s="7" t="s">
        <v>23</v>
      </c>
      <c r="D316" s="7" t="s">
        <v>696</v>
      </c>
      <c r="E316" s="7"/>
      <c r="F316" s="7" t="s">
        <v>1109</v>
      </c>
      <c r="G316" s="7" t="s">
        <v>1110</v>
      </c>
      <c r="H316" s="7" t="s">
        <v>1111</v>
      </c>
      <c r="I316" s="7" t="s">
        <v>265</v>
      </c>
      <c r="J316" s="8">
        <v>8</v>
      </c>
      <c r="K316" s="8"/>
      <c r="L316" s="22"/>
      <c r="M316" s="8"/>
      <c r="N316" s="13">
        <v>46214</v>
      </c>
      <c r="O316" s="9"/>
      <c r="P316" s="7" t="s">
        <v>48</v>
      </c>
      <c r="Q316" s="7" t="s">
        <v>266</v>
      </c>
      <c r="R316" s="7"/>
      <c r="S316" s="7"/>
      <c r="T316" s="7"/>
      <c r="U316" s="7"/>
    </row>
    <row r="317" spans="1:21" ht="48" customHeight="1">
      <c r="A317" s="7" t="s">
        <v>182</v>
      </c>
      <c r="B317" s="30" t="s">
        <v>1273</v>
      </c>
      <c r="C317" s="7" t="s">
        <v>23</v>
      </c>
      <c r="D317" s="7" t="s">
        <v>696</v>
      </c>
      <c r="E317" s="7"/>
      <c r="F317" s="7" t="s">
        <v>1112</v>
      </c>
      <c r="G317" s="7" t="s">
        <v>1051</v>
      </c>
      <c r="H317" s="7" t="s">
        <v>1113</v>
      </c>
      <c r="I317" s="7" t="s">
        <v>265</v>
      </c>
      <c r="J317" s="8">
        <v>5</v>
      </c>
      <c r="K317" s="8"/>
      <c r="L317" s="22"/>
      <c r="M317" s="8"/>
      <c r="N317" s="13">
        <v>46214</v>
      </c>
      <c r="O317" s="9"/>
      <c r="P317" s="7" t="s">
        <v>48</v>
      </c>
      <c r="Q317" s="7" t="s">
        <v>266</v>
      </c>
      <c r="R317" s="7"/>
      <c r="S317" s="7"/>
      <c r="T317" s="7"/>
      <c r="U317" s="7"/>
    </row>
    <row r="318" spans="1:21" ht="80" customHeight="1">
      <c r="A318" s="7" t="s">
        <v>182</v>
      </c>
      <c r="B318" s="30" t="s">
        <v>71</v>
      </c>
      <c r="C318" s="7" t="s">
        <v>23</v>
      </c>
      <c r="D318" s="7" t="s">
        <v>318</v>
      </c>
      <c r="E318" s="7"/>
      <c r="F318" s="7" t="s">
        <v>1114</v>
      </c>
      <c r="G318" s="7" t="s">
        <v>1115</v>
      </c>
      <c r="H318" s="7" t="s">
        <v>1116</v>
      </c>
      <c r="I318" s="7" t="s">
        <v>265</v>
      </c>
      <c r="J318" s="8">
        <v>2</v>
      </c>
      <c r="K318" s="8"/>
      <c r="L318" s="22"/>
      <c r="M318" s="8"/>
      <c r="N318" s="13">
        <v>46385</v>
      </c>
      <c r="O318" s="9" t="s">
        <v>1068</v>
      </c>
      <c r="P318" s="7" t="s">
        <v>48</v>
      </c>
      <c r="Q318" s="7" t="s">
        <v>266</v>
      </c>
      <c r="R318" s="7"/>
      <c r="S318" s="7"/>
      <c r="T318" s="7"/>
      <c r="U318" s="7"/>
    </row>
    <row r="319" spans="1:21" ht="80" customHeight="1">
      <c r="A319" s="7" t="s">
        <v>182</v>
      </c>
      <c r="B319" s="30" t="s">
        <v>71</v>
      </c>
      <c r="C319" s="7" t="s">
        <v>23</v>
      </c>
      <c r="D319" s="7" t="s">
        <v>338</v>
      </c>
      <c r="E319" s="7"/>
      <c r="F319" s="7" t="s">
        <v>1117</v>
      </c>
      <c r="G319" s="7" t="s">
        <v>1118</v>
      </c>
      <c r="H319" s="7" t="s">
        <v>1119</v>
      </c>
      <c r="I319" s="7" t="s">
        <v>265</v>
      </c>
      <c r="J319" s="8">
        <v>2</v>
      </c>
      <c r="K319" s="8"/>
      <c r="L319" s="22"/>
      <c r="M319" s="8"/>
      <c r="N319" s="13">
        <v>46051</v>
      </c>
      <c r="O319" s="9" t="s">
        <v>1068</v>
      </c>
      <c r="P319" s="7" t="s">
        <v>48</v>
      </c>
      <c r="Q319" s="7" t="s">
        <v>266</v>
      </c>
      <c r="R319" s="7"/>
      <c r="S319" s="7"/>
      <c r="T319" s="7"/>
      <c r="U319" s="7"/>
    </row>
    <row r="320" spans="1:21" ht="80" customHeight="1">
      <c r="A320" s="7" t="s">
        <v>182</v>
      </c>
      <c r="B320" s="30" t="s">
        <v>71</v>
      </c>
      <c r="C320" s="7" t="s">
        <v>23</v>
      </c>
      <c r="D320" s="7" t="s">
        <v>746</v>
      </c>
      <c r="E320" s="7"/>
      <c r="F320" s="7" t="s">
        <v>1120</v>
      </c>
      <c r="G320" s="7" t="s">
        <v>1121</v>
      </c>
      <c r="H320" s="7" t="s">
        <v>1122</v>
      </c>
      <c r="I320" s="7" t="s">
        <v>265</v>
      </c>
      <c r="J320" s="8">
        <v>25</v>
      </c>
      <c r="K320" s="8"/>
      <c r="L320" s="22"/>
      <c r="M320" s="8"/>
      <c r="N320" s="13">
        <v>46066</v>
      </c>
      <c r="O320" s="9" t="s">
        <v>1068</v>
      </c>
      <c r="P320" s="7" t="s">
        <v>48</v>
      </c>
      <c r="Q320" s="7" t="s">
        <v>266</v>
      </c>
      <c r="R320" s="7"/>
      <c r="S320" s="7"/>
      <c r="T320" s="7"/>
      <c r="U320" s="7"/>
    </row>
    <row r="321" spans="1:21" ht="32" customHeight="1">
      <c r="A321" s="7" t="s">
        <v>182</v>
      </c>
      <c r="B321" s="30" t="s">
        <v>71</v>
      </c>
      <c r="C321" s="7" t="s">
        <v>23</v>
      </c>
      <c r="D321" s="7" t="s">
        <v>696</v>
      </c>
      <c r="E321" s="7"/>
      <c r="F321" s="7" t="s">
        <v>1020</v>
      </c>
      <c r="G321" s="7" t="s">
        <v>1123</v>
      </c>
      <c r="H321" s="7" t="s">
        <v>1124</v>
      </c>
      <c r="I321" s="7" t="s">
        <v>265</v>
      </c>
      <c r="J321" s="8">
        <v>4</v>
      </c>
      <c r="K321" s="8"/>
      <c r="L321" s="22"/>
      <c r="M321" s="8"/>
      <c r="N321" s="13">
        <v>46221</v>
      </c>
      <c r="O321" s="9"/>
      <c r="P321" s="7" t="s">
        <v>48</v>
      </c>
      <c r="Q321" s="7" t="s">
        <v>266</v>
      </c>
      <c r="R321" s="7"/>
      <c r="S321" s="7"/>
      <c r="T321" s="7"/>
      <c r="U321" s="7"/>
    </row>
    <row r="322" spans="1:21" ht="32" customHeight="1">
      <c r="A322" s="7" t="s">
        <v>182</v>
      </c>
      <c r="B322" s="30" t="s">
        <v>82</v>
      </c>
      <c r="C322" s="7" t="s">
        <v>23</v>
      </c>
      <c r="D322" s="7" t="s">
        <v>1125</v>
      </c>
      <c r="E322" s="7"/>
      <c r="F322" s="7" t="s">
        <v>1126</v>
      </c>
      <c r="G322" s="7" t="s">
        <v>1127</v>
      </c>
      <c r="H322" s="7"/>
      <c r="I322" s="7" t="s">
        <v>265</v>
      </c>
      <c r="J322" s="8">
        <v>3</v>
      </c>
      <c r="K322" s="8"/>
      <c r="L322" s="22"/>
      <c r="M322" s="8"/>
      <c r="N322" s="13">
        <v>46064</v>
      </c>
      <c r="O322" s="9"/>
      <c r="P322" s="7" t="s">
        <v>48</v>
      </c>
      <c r="Q322" s="7" t="s">
        <v>266</v>
      </c>
      <c r="R322" s="7"/>
      <c r="S322" s="7"/>
      <c r="T322" s="7"/>
      <c r="U322" s="7"/>
    </row>
    <row r="323" spans="1:21" ht="64" customHeight="1">
      <c r="A323" s="7" t="s">
        <v>182</v>
      </c>
      <c r="B323" s="30" t="s">
        <v>71</v>
      </c>
      <c r="C323" s="7" t="s">
        <v>23</v>
      </c>
      <c r="D323" s="7" t="s">
        <v>746</v>
      </c>
      <c r="E323" s="7"/>
      <c r="F323" s="7" t="s">
        <v>1128</v>
      </c>
      <c r="G323" s="7" t="s">
        <v>1129</v>
      </c>
      <c r="H323" s="7" t="s">
        <v>1130</v>
      </c>
      <c r="I323" s="7" t="s">
        <v>265</v>
      </c>
      <c r="J323" s="8">
        <v>3</v>
      </c>
      <c r="K323" s="8"/>
      <c r="L323" s="22"/>
      <c r="M323" s="8"/>
      <c r="N323" s="13">
        <v>46066</v>
      </c>
      <c r="O323" s="9"/>
      <c r="P323" s="7" t="s">
        <v>48</v>
      </c>
      <c r="Q323" s="7" t="s">
        <v>266</v>
      </c>
      <c r="R323" s="7"/>
      <c r="S323" s="7"/>
      <c r="T323" s="7"/>
      <c r="U323" s="7"/>
    </row>
    <row r="324" spans="1:21" ht="45" customHeight="1">
      <c r="A324" s="7" t="s">
        <v>182</v>
      </c>
      <c r="B324" s="30" t="s">
        <v>1272</v>
      </c>
      <c r="C324" s="7" t="s">
        <v>23</v>
      </c>
      <c r="D324" s="7" t="s">
        <v>746</v>
      </c>
      <c r="E324" s="7"/>
      <c r="F324" s="7" t="s">
        <v>1131</v>
      </c>
      <c r="G324" s="7" t="s">
        <v>1132</v>
      </c>
      <c r="H324" s="7" t="s">
        <v>1133</v>
      </c>
      <c r="I324" s="7" t="s">
        <v>265</v>
      </c>
      <c r="J324" s="8">
        <v>3</v>
      </c>
      <c r="K324" s="8"/>
      <c r="L324" s="22"/>
      <c r="M324" s="8"/>
      <c r="N324" s="13">
        <v>46066</v>
      </c>
      <c r="O324" s="9"/>
      <c r="P324" s="7" t="s">
        <v>48</v>
      </c>
      <c r="Q324" s="7" t="s">
        <v>266</v>
      </c>
      <c r="R324" s="7"/>
      <c r="S324" s="7"/>
      <c r="T324" s="7"/>
      <c r="U324" s="7"/>
    </row>
    <row r="325" spans="1:21" ht="96" customHeight="1">
      <c r="A325" s="7" t="s">
        <v>182</v>
      </c>
      <c r="B325" s="30" t="s">
        <v>71</v>
      </c>
      <c r="C325" s="7" t="s">
        <v>23</v>
      </c>
      <c r="D325" s="7" t="s">
        <v>696</v>
      </c>
      <c r="E325" s="7"/>
      <c r="F325" s="7" t="s">
        <v>1020</v>
      </c>
      <c r="G325" s="7" t="s">
        <v>1134</v>
      </c>
      <c r="H325" s="7" t="s">
        <v>1135</v>
      </c>
      <c r="I325" s="7" t="s">
        <v>265</v>
      </c>
      <c r="J325" s="8">
        <v>33</v>
      </c>
      <c r="K325" s="8"/>
      <c r="L325" s="22"/>
      <c r="M325" s="8"/>
      <c r="N325" s="13">
        <v>46228</v>
      </c>
      <c r="O325" s="9"/>
      <c r="P325" s="7" t="s">
        <v>48</v>
      </c>
      <c r="Q325" s="7" t="s">
        <v>266</v>
      </c>
      <c r="R325" s="7"/>
      <c r="S325" s="7"/>
      <c r="T325" s="7"/>
      <c r="U325" s="7"/>
    </row>
    <row r="326" spans="1:21" ht="80" customHeight="1">
      <c r="A326" s="7" t="s">
        <v>182</v>
      </c>
      <c r="B326" s="30" t="s">
        <v>71</v>
      </c>
      <c r="C326" s="7" t="s">
        <v>23</v>
      </c>
      <c r="D326" s="7" t="s">
        <v>696</v>
      </c>
      <c r="E326" s="7"/>
      <c r="F326" s="7" t="s">
        <v>1020</v>
      </c>
      <c r="G326" s="7" t="s">
        <v>1136</v>
      </c>
      <c r="H326" s="7" t="s">
        <v>1137</v>
      </c>
      <c r="I326" s="7" t="s">
        <v>265</v>
      </c>
      <c r="J326" s="8">
        <v>13</v>
      </c>
      <c r="K326" s="8"/>
      <c r="L326" s="22"/>
      <c r="M326" s="8"/>
      <c r="N326" s="13">
        <v>46228</v>
      </c>
      <c r="O326" s="9"/>
      <c r="P326" s="7" t="s">
        <v>48</v>
      </c>
      <c r="Q326" s="7" t="s">
        <v>266</v>
      </c>
      <c r="R326" s="7"/>
      <c r="S326" s="7"/>
      <c r="T326" s="7"/>
      <c r="U326" s="7"/>
    </row>
    <row r="327" spans="1:21" ht="96" customHeight="1">
      <c r="A327" s="7" t="s">
        <v>182</v>
      </c>
      <c r="B327" s="30" t="s">
        <v>71</v>
      </c>
      <c r="C327" s="7" t="s">
        <v>23</v>
      </c>
      <c r="D327" s="7" t="s">
        <v>1138</v>
      </c>
      <c r="E327" s="7"/>
      <c r="F327" s="7" t="s">
        <v>1139</v>
      </c>
      <c r="G327" s="7" t="s">
        <v>1140</v>
      </c>
      <c r="H327" s="7" t="s">
        <v>1141</v>
      </c>
      <c r="I327" s="7" t="s">
        <v>265</v>
      </c>
      <c r="J327" s="8">
        <v>4</v>
      </c>
      <c r="K327" s="8"/>
      <c r="L327" s="22"/>
      <c r="M327" s="8"/>
      <c r="N327" s="13">
        <v>46118</v>
      </c>
      <c r="O327" s="9" t="s">
        <v>1068</v>
      </c>
      <c r="P327" s="7" t="s">
        <v>48</v>
      </c>
      <c r="Q327" s="7" t="s">
        <v>266</v>
      </c>
      <c r="R327" s="7"/>
      <c r="S327" s="7"/>
      <c r="T327" s="7"/>
      <c r="U327" s="7"/>
    </row>
    <row r="328" spans="1:21" ht="96" customHeight="1">
      <c r="A328" s="7" t="s">
        <v>182</v>
      </c>
      <c r="B328" s="30" t="s">
        <v>71</v>
      </c>
      <c r="C328" s="7" t="s">
        <v>23</v>
      </c>
      <c r="D328" s="7" t="s">
        <v>696</v>
      </c>
      <c r="E328" s="7"/>
      <c r="F328" s="7" t="s">
        <v>1020</v>
      </c>
      <c r="G328" s="7" t="s">
        <v>981</v>
      </c>
      <c r="H328" s="7" t="s">
        <v>1142</v>
      </c>
      <c r="I328" s="7" t="s">
        <v>265</v>
      </c>
      <c r="J328" s="8">
        <v>12</v>
      </c>
      <c r="K328" s="8"/>
      <c r="L328" s="22"/>
      <c r="M328" s="8"/>
      <c r="N328" s="13">
        <v>46256</v>
      </c>
      <c r="O328" s="9" t="s">
        <v>1068</v>
      </c>
      <c r="P328" s="7" t="s">
        <v>48</v>
      </c>
      <c r="Q328" s="7" t="s">
        <v>266</v>
      </c>
      <c r="R328" s="7"/>
      <c r="S328" s="7"/>
      <c r="T328" s="7"/>
      <c r="U328" s="7"/>
    </row>
    <row r="329" spans="1:21" ht="96" customHeight="1">
      <c r="A329" s="7" t="s">
        <v>182</v>
      </c>
      <c r="B329" s="30" t="s">
        <v>208</v>
      </c>
      <c r="C329" s="7" t="s">
        <v>23</v>
      </c>
      <c r="D329" s="7" t="s">
        <v>746</v>
      </c>
      <c r="E329" s="7"/>
      <c r="F329" s="7" t="s">
        <v>1143</v>
      </c>
      <c r="G329" s="7" t="s">
        <v>1144</v>
      </c>
      <c r="H329" s="7" t="s">
        <v>1080</v>
      </c>
      <c r="I329" s="7" t="s">
        <v>265</v>
      </c>
      <c r="J329" s="8">
        <v>13</v>
      </c>
      <c r="K329" s="8"/>
      <c r="L329" s="22"/>
      <c r="M329" s="8"/>
      <c r="N329" s="13">
        <v>46120</v>
      </c>
      <c r="O329" s="9" t="s">
        <v>1068</v>
      </c>
      <c r="P329" s="7" t="s">
        <v>48</v>
      </c>
      <c r="Q329" s="7" t="s">
        <v>266</v>
      </c>
      <c r="R329" s="7"/>
      <c r="S329" s="7"/>
      <c r="T329" s="7"/>
      <c r="U329" s="7"/>
    </row>
    <row r="330" spans="1:21" ht="34" customHeight="1">
      <c r="A330" s="7" t="s">
        <v>182</v>
      </c>
      <c r="B330" s="32"/>
      <c r="C330" s="7" t="s">
        <v>23</v>
      </c>
      <c r="D330" s="7" t="s">
        <v>696</v>
      </c>
      <c r="E330" s="7"/>
      <c r="F330" s="7" t="s">
        <v>1020</v>
      </c>
      <c r="G330" s="7" t="s">
        <v>1145</v>
      </c>
      <c r="H330" s="7" t="s">
        <v>1145</v>
      </c>
      <c r="I330" s="7" t="s">
        <v>265</v>
      </c>
      <c r="J330" s="8">
        <v>6</v>
      </c>
      <c r="K330" s="8"/>
      <c r="L330" s="22"/>
      <c r="M330" s="8"/>
      <c r="N330" s="13">
        <v>46256</v>
      </c>
      <c r="O330" s="9" t="s">
        <v>1068</v>
      </c>
      <c r="P330" s="7" t="s">
        <v>48</v>
      </c>
      <c r="Q330" s="7" t="s">
        <v>266</v>
      </c>
      <c r="R330" s="7"/>
      <c r="S330" s="7"/>
      <c r="T330" s="7"/>
      <c r="U330" s="7"/>
    </row>
    <row r="331" spans="1:21" ht="96" customHeight="1">
      <c r="A331" s="7" t="s">
        <v>182</v>
      </c>
      <c r="B331" s="30" t="s">
        <v>326</v>
      </c>
      <c r="C331" s="7" t="s">
        <v>23</v>
      </c>
      <c r="D331" s="7" t="s">
        <v>1146</v>
      </c>
      <c r="E331" s="7"/>
      <c r="F331" s="7" t="s">
        <v>1147</v>
      </c>
      <c r="G331" s="7" t="s">
        <v>1148</v>
      </c>
      <c r="H331" s="7" t="s">
        <v>1080</v>
      </c>
      <c r="I331" s="7" t="s">
        <v>265</v>
      </c>
      <c r="J331" s="8">
        <v>6</v>
      </c>
      <c r="K331" s="8"/>
      <c r="L331" s="22"/>
      <c r="M331" s="8"/>
      <c r="N331" s="13">
        <v>46170</v>
      </c>
      <c r="O331" s="9" t="s">
        <v>1068</v>
      </c>
      <c r="P331" s="7" t="s">
        <v>48</v>
      </c>
      <c r="Q331" s="7" t="s">
        <v>266</v>
      </c>
      <c r="R331" s="7"/>
      <c r="S331" s="7"/>
      <c r="T331" s="7"/>
      <c r="U331" s="7"/>
    </row>
    <row r="332" spans="1:21" ht="80" customHeight="1">
      <c r="A332" s="7" t="s">
        <v>182</v>
      </c>
      <c r="B332" s="30" t="s">
        <v>326</v>
      </c>
      <c r="C332" s="7" t="s">
        <v>23</v>
      </c>
      <c r="D332" s="7" t="s">
        <v>746</v>
      </c>
      <c r="E332" s="7"/>
      <c r="F332" s="7" t="s">
        <v>1149</v>
      </c>
      <c r="G332" s="7" t="s">
        <v>1150</v>
      </c>
      <c r="H332" s="7" t="s">
        <v>1151</v>
      </c>
      <c r="I332" s="7" t="s">
        <v>265</v>
      </c>
      <c r="J332" s="8">
        <v>5</v>
      </c>
      <c r="K332" s="8"/>
      <c r="L332" s="22"/>
      <c r="M332" s="8"/>
      <c r="N332" s="13">
        <v>46182</v>
      </c>
      <c r="O332" s="9" t="s">
        <v>1068</v>
      </c>
      <c r="P332" s="7" t="s">
        <v>48</v>
      </c>
      <c r="Q332" s="7" t="s">
        <v>266</v>
      </c>
      <c r="R332" s="7"/>
      <c r="S332" s="7"/>
      <c r="T332" s="7"/>
      <c r="U332" s="7"/>
    </row>
    <row r="333" spans="1:21" ht="48" customHeight="1">
      <c r="A333" s="7" t="s">
        <v>182</v>
      </c>
      <c r="B333" s="30" t="s">
        <v>71</v>
      </c>
      <c r="C333" s="7" t="s">
        <v>23</v>
      </c>
      <c r="D333" s="7" t="s">
        <v>338</v>
      </c>
      <c r="E333" s="7"/>
      <c r="F333" s="7" t="s">
        <v>1152</v>
      </c>
      <c r="G333" s="7" t="s">
        <v>1153</v>
      </c>
      <c r="H333" s="7" t="s">
        <v>1154</v>
      </c>
      <c r="I333" s="7" t="s">
        <v>265</v>
      </c>
      <c r="J333" s="8">
        <v>6</v>
      </c>
      <c r="K333" s="8"/>
      <c r="L333" s="22"/>
      <c r="M333" s="8"/>
      <c r="N333" s="13">
        <v>46204</v>
      </c>
      <c r="O333" s="9" t="s">
        <v>1068</v>
      </c>
      <c r="P333" s="7" t="s">
        <v>48</v>
      </c>
      <c r="Q333" s="7" t="s">
        <v>266</v>
      </c>
      <c r="R333" s="7"/>
      <c r="S333" s="7"/>
      <c r="T333" s="7"/>
      <c r="U333" s="7"/>
    </row>
    <row r="334" spans="1:21" ht="80" customHeight="1">
      <c r="A334" s="7" t="s">
        <v>182</v>
      </c>
      <c r="B334" s="30" t="s">
        <v>155</v>
      </c>
      <c r="C334" s="7" t="s">
        <v>23</v>
      </c>
      <c r="D334" s="7" t="s">
        <v>1155</v>
      </c>
      <c r="E334" s="7"/>
      <c r="F334" s="7" t="s">
        <v>1156</v>
      </c>
      <c r="G334" s="7" t="s">
        <v>1157</v>
      </c>
      <c r="H334" s="7" t="s">
        <v>1158</v>
      </c>
      <c r="I334" s="7" t="s">
        <v>1159</v>
      </c>
      <c r="J334" s="8">
        <v>1</v>
      </c>
      <c r="K334" s="8"/>
      <c r="L334" s="22"/>
      <c r="M334" s="8" t="s">
        <v>1160</v>
      </c>
      <c r="N334" s="13">
        <v>45324</v>
      </c>
      <c r="O334" s="9"/>
      <c r="P334" s="9" t="s">
        <v>205</v>
      </c>
      <c r="Q334" s="7" t="s">
        <v>771</v>
      </c>
      <c r="R334" s="7"/>
      <c r="S334" s="7"/>
      <c r="T334" s="7"/>
      <c r="U334" s="7"/>
    </row>
    <row r="335" spans="1:21" ht="48" customHeight="1">
      <c r="A335" s="7" t="s">
        <v>182</v>
      </c>
      <c r="B335" s="30" t="s">
        <v>155</v>
      </c>
      <c r="C335" s="7" t="s">
        <v>23</v>
      </c>
      <c r="D335" s="7" t="s">
        <v>1161</v>
      </c>
      <c r="E335" s="7"/>
      <c r="F335" s="7" t="s">
        <v>1162</v>
      </c>
      <c r="G335" s="7" t="s">
        <v>1163</v>
      </c>
      <c r="H335" s="7" t="s">
        <v>1164</v>
      </c>
      <c r="I335" s="7" t="s">
        <v>1159</v>
      </c>
      <c r="J335" s="8">
        <v>1</v>
      </c>
      <c r="K335" s="8"/>
      <c r="L335" s="22"/>
      <c r="M335" s="8" t="s">
        <v>1165</v>
      </c>
      <c r="N335" s="13">
        <v>45476</v>
      </c>
      <c r="O335" s="9"/>
      <c r="P335" s="9" t="s">
        <v>205</v>
      </c>
      <c r="Q335" s="7" t="s">
        <v>771</v>
      </c>
      <c r="R335" s="7"/>
      <c r="S335" s="7"/>
      <c r="T335" s="7"/>
      <c r="U335" s="7"/>
    </row>
    <row r="336" spans="1:21" ht="48" customHeight="1">
      <c r="A336" s="7" t="s">
        <v>182</v>
      </c>
      <c r="B336" s="30" t="s">
        <v>71</v>
      </c>
      <c r="C336" s="7" t="s">
        <v>23</v>
      </c>
      <c r="D336" s="7" t="s">
        <v>261</v>
      </c>
      <c r="E336" s="7"/>
      <c r="F336" s="7" t="s">
        <v>1166</v>
      </c>
      <c r="G336" s="7" t="s">
        <v>1167</v>
      </c>
      <c r="H336" s="7" t="s">
        <v>836</v>
      </c>
      <c r="I336" s="7" t="s">
        <v>265</v>
      </c>
      <c r="J336" s="8"/>
      <c r="K336" s="8"/>
      <c r="L336" s="22"/>
      <c r="M336" s="8"/>
      <c r="N336" s="25">
        <v>46257</v>
      </c>
      <c r="O336" s="9"/>
      <c r="P336" s="7" t="s">
        <v>48</v>
      </c>
      <c r="Q336" s="7" t="s">
        <v>266</v>
      </c>
      <c r="R336" s="7"/>
      <c r="S336" s="7"/>
      <c r="T336" s="7"/>
      <c r="U336" s="7"/>
    </row>
    <row r="337" spans="1:21" ht="64" customHeight="1">
      <c r="A337" s="7" t="s">
        <v>182</v>
      </c>
      <c r="B337" s="30" t="s">
        <v>155</v>
      </c>
      <c r="C337" s="7" t="s">
        <v>23</v>
      </c>
      <c r="D337" s="7" t="s">
        <v>1168</v>
      </c>
      <c r="E337" s="7"/>
      <c r="F337" s="7" t="s">
        <v>1169</v>
      </c>
      <c r="G337" s="7" t="s">
        <v>1170</v>
      </c>
      <c r="H337" s="7" t="s">
        <v>1171</v>
      </c>
      <c r="I337" s="7" t="s">
        <v>1034</v>
      </c>
      <c r="J337" s="8">
        <v>1</v>
      </c>
      <c r="K337" s="8"/>
      <c r="L337" s="22"/>
      <c r="M337" s="8" t="s">
        <v>1172</v>
      </c>
      <c r="N337" s="13">
        <v>45907</v>
      </c>
      <c r="O337" s="9"/>
      <c r="P337" s="9" t="s">
        <v>205</v>
      </c>
      <c r="Q337" s="7" t="s">
        <v>771</v>
      </c>
      <c r="R337" s="7"/>
      <c r="S337" s="7"/>
      <c r="T337" s="7"/>
      <c r="U337" s="7"/>
    </row>
    <row r="338" spans="1:21" ht="96" customHeight="1">
      <c r="A338" s="7" t="s">
        <v>182</v>
      </c>
      <c r="B338" s="30" t="s">
        <v>71</v>
      </c>
      <c r="C338" s="7" t="s">
        <v>23</v>
      </c>
      <c r="D338" s="7" t="s">
        <v>1173</v>
      </c>
      <c r="E338" s="7"/>
      <c r="F338" s="7" t="s">
        <v>1174</v>
      </c>
      <c r="G338" s="7" t="s">
        <v>1175</v>
      </c>
      <c r="H338" s="7" t="s">
        <v>1176</v>
      </c>
      <c r="I338" s="7" t="s">
        <v>265</v>
      </c>
      <c r="J338" s="8">
        <v>6</v>
      </c>
      <c r="K338" s="8"/>
      <c r="L338" s="22"/>
      <c r="M338" s="8"/>
      <c r="N338" s="13">
        <v>46263</v>
      </c>
      <c r="O338" s="9"/>
      <c r="P338" s="7" t="s">
        <v>48</v>
      </c>
      <c r="Q338" s="7" t="s">
        <v>266</v>
      </c>
      <c r="R338" s="7"/>
      <c r="S338" s="7"/>
      <c r="T338" s="7"/>
      <c r="U338" s="7"/>
    </row>
    <row r="339" spans="1:21" ht="80" customHeight="1">
      <c r="A339" s="7" t="s">
        <v>182</v>
      </c>
      <c r="B339" s="30" t="s">
        <v>71</v>
      </c>
      <c r="C339" s="7" t="s">
        <v>23</v>
      </c>
      <c r="D339" s="7" t="s">
        <v>1173</v>
      </c>
      <c r="E339" s="7"/>
      <c r="F339" s="7" t="s">
        <v>1177</v>
      </c>
      <c r="G339" s="7" t="s">
        <v>1178</v>
      </c>
      <c r="H339" s="7" t="s">
        <v>1179</v>
      </c>
      <c r="I339" s="7" t="s">
        <v>265</v>
      </c>
      <c r="J339" s="8">
        <v>6</v>
      </c>
      <c r="K339" s="8"/>
      <c r="L339" s="22"/>
      <c r="M339" s="8"/>
      <c r="N339" s="13">
        <v>46263</v>
      </c>
      <c r="O339" s="9"/>
      <c r="P339" s="7" t="s">
        <v>48</v>
      </c>
      <c r="Q339" s="7" t="s">
        <v>266</v>
      </c>
      <c r="R339" s="7"/>
      <c r="S339" s="7"/>
      <c r="T339" s="7"/>
      <c r="U339" s="7"/>
    </row>
    <row r="340" spans="1:21" ht="64" customHeight="1">
      <c r="A340" s="7" t="s">
        <v>182</v>
      </c>
      <c r="B340" s="30" t="s">
        <v>155</v>
      </c>
      <c r="C340" s="7" t="s">
        <v>23</v>
      </c>
      <c r="D340" s="7" t="s">
        <v>382</v>
      </c>
      <c r="E340" s="7"/>
      <c r="F340" s="7" t="s">
        <v>1180</v>
      </c>
      <c r="G340" s="7" t="s">
        <v>1181</v>
      </c>
      <c r="H340" s="7" t="s">
        <v>1182</v>
      </c>
      <c r="I340" s="7" t="s">
        <v>265</v>
      </c>
      <c r="J340" s="8">
        <v>1</v>
      </c>
      <c r="K340" s="8">
        <v>29</v>
      </c>
      <c r="L340" s="21">
        <f>WorkmanshipResultsTable[[#This Row],[Number of Failed Units]]/WorkmanshipResultsTable[[#This Row],[Total Units Built]]</f>
        <v>3.4482758620689655E-2</v>
      </c>
      <c r="M340" s="8" t="s">
        <v>1183</v>
      </c>
      <c r="N340" s="13">
        <v>46106</v>
      </c>
      <c r="O340" s="9" t="s">
        <v>195</v>
      </c>
      <c r="P340" s="9" t="s">
        <v>205</v>
      </c>
      <c r="Q340" s="7" t="s">
        <v>771</v>
      </c>
      <c r="R340" s="7"/>
      <c r="S340" s="7"/>
      <c r="T340" s="7"/>
      <c r="U340" s="7"/>
    </row>
    <row r="341" spans="1:21" ht="80" customHeight="1">
      <c r="A341" s="7" t="s">
        <v>182</v>
      </c>
      <c r="B341" s="30" t="s">
        <v>71</v>
      </c>
      <c r="C341" s="7" t="s">
        <v>23</v>
      </c>
      <c r="D341" s="7" t="s">
        <v>1173</v>
      </c>
      <c r="E341" s="7"/>
      <c r="F341" s="7" t="s">
        <v>1184</v>
      </c>
      <c r="G341" s="7" t="s">
        <v>1185</v>
      </c>
      <c r="H341" s="7" t="s">
        <v>1186</v>
      </c>
      <c r="I341" s="7" t="s">
        <v>265</v>
      </c>
      <c r="J341" s="8">
        <v>6</v>
      </c>
      <c r="K341" s="8"/>
      <c r="L341" s="22"/>
      <c r="M341" s="8"/>
      <c r="N341" s="13">
        <v>46263</v>
      </c>
      <c r="O341" s="9"/>
      <c r="P341" s="7" t="s">
        <v>48</v>
      </c>
      <c r="Q341" s="7" t="s">
        <v>266</v>
      </c>
      <c r="R341" s="7"/>
      <c r="S341" s="7"/>
      <c r="T341" s="7"/>
      <c r="U341" s="7"/>
    </row>
    <row r="342" spans="1:21" ht="64" customHeight="1">
      <c r="A342" s="7" t="s">
        <v>182</v>
      </c>
      <c r="B342" s="30" t="s">
        <v>428</v>
      </c>
      <c r="C342" s="7" t="s">
        <v>23</v>
      </c>
      <c r="D342" s="7" t="s">
        <v>382</v>
      </c>
      <c r="E342" s="7"/>
      <c r="F342" s="7" t="s">
        <v>1187</v>
      </c>
      <c r="G342" s="7" t="s">
        <v>1188</v>
      </c>
      <c r="H342" s="7" t="s">
        <v>1189</v>
      </c>
      <c r="I342" s="7" t="s">
        <v>265</v>
      </c>
      <c r="J342" s="8">
        <v>1</v>
      </c>
      <c r="K342" s="27">
        <v>17</v>
      </c>
      <c r="L342" s="21">
        <f>WorkmanshipResultsTable[[#This Row],[Number of Failed Units]]/WorkmanshipResultsTable[[#This Row],[Total Units Built]]</f>
        <v>5.8823529411764705E-2</v>
      </c>
      <c r="M342" s="8" t="s">
        <v>1190</v>
      </c>
      <c r="N342" s="13">
        <v>45737</v>
      </c>
      <c r="O342" s="9" t="s">
        <v>195</v>
      </c>
      <c r="P342" s="9" t="s">
        <v>205</v>
      </c>
      <c r="Q342" s="7" t="s">
        <v>771</v>
      </c>
      <c r="R342" s="7"/>
      <c r="S342" s="7"/>
      <c r="T342" s="7"/>
      <c r="U342" s="7"/>
    </row>
    <row r="343" spans="1:21" ht="80" customHeight="1">
      <c r="A343" s="7" t="s">
        <v>182</v>
      </c>
      <c r="B343" s="30" t="s">
        <v>39</v>
      </c>
      <c r="C343" s="7" t="s">
        <v>23</v>
      </c>
      <c r="D343" s="7" t="s">
        <v>382</v>
      </c>
      <c r="E343" s="7"/>
      <c r="F343" s="7" t="s">
        <v>1191</v>
      </c>
      <c r="G343" s="7" t="s">
        <v>1192</v>
      </c>
      <c r="H343" s="7" t="s">
        <v>1193</v>
      </c>
      <c r="I343" s="7" t="s">
        <v>29</v>
      </c>
      <c r="J343" s="8">
        <v>1</v>
      </c>
      <c r="K343" s="8">
        <v>18</v>
      </c>
      <c r="L343" s="21">
        <f>WorkmanshipResultsTable[[#This Row],[Number of Failed Units]]/WorkmanshipResultsTable[[#This Row],[Total Units Built]]</f>
        <v>5.5555555555555552E-2</v>
      </c>
      <c r="M343" s="8" t="s">
        <v>1194</v>
      </c>
      <c r="N343" s="13">
        <v>45618</v>
      </c>
      <c r="O343" s="9" t="s">
        <v>386</v>
      </c>
      <c r="P343" s="9" t="s">
        <v>205</v>
      </c>
      <c r="Q343" s="7" t="s">
        <v>771</v>
      </c>
      <c r="R343" s="7"/>
      <c r="S343" s="7"/>
      <c r="T343" s="7"/>
      <c r="U343" s="7"/>
    </row>
    <row r="344" spans="1:21" ht="32" customHeight="1">
      <c r="A344" s="7" t="s">
        <v>182</v>
      </c>
      <c r="B344" s="30" t="s">
        <v>1273</v>
      </c>
      <c r="C344" s="7" t="s">
        <v>23</v>
      </c>
      <c r="D344" s="7" t="s">
        <v>696</v>
      </c>
      <c r="E344" s="7"/>
      <c r="F344" s="7" t="s">
        <v>1195</v>
      </c>
      <c r="G344" s="7" t="s">
        <v>1196</v>
      </c>
      <c r="H344" s="7" t="s">
        <v>1197</v>
      </c>
      <c r="I344" s="7" t="s">
        <v>265</v>
      </c>
      <c r="J344" s="8">
        <v>2</v>
      </c>
      <c r="K344" s="8"/>
      <c r="L344" s="22"/>
      <c r="M344" s="8"/>
      <c r="N344" s="13">
        <v>46282</v>
      </c>
      <c r="O344" s="9" t="s">
        <v>1108</v>
      </c>
      <c r="P344" s="7" t="s">
        <v>48</v>
      </c>
      <c r="Q344" s="7" t="s">
        <v>266</v>
      </c>
      <c r="R344" s="7"/>
      <c r="S344" s="7"/>
      <c r="T344" s="7"/>
      <c r="U344" s="7"/>
    </row>
    <row r="345" spans="1:21" ht="32" customHeight="1">
      <c r="A345" s="7" t="s">
        <v>182</v>
      </c>
      <c r="B345" s="30" t="s">
        <v>71</v>
      </c>
      <c r="C345" s="7" t="s">
        <v>23</v>
      </c>
      <c r="D345" s="7" t="s">
        <v>696</v>
      </c>
      <c r="E345" s="7"/>
      <c r="F345" s="7" t="s">
        <v>1198</v>
      </c>
      <c r="G345" s="7" t="s">
        <v>1199</v>
      </c>
      <c r="H345" s="7" t="s">
        <v>1200</v>
      </c>
      <c r="I345" s="7" t="s">
        <v>265</v>
      </c>
      <c r="J345" s="8">
        <v>9</v>
      </c>
      <c r="K345" s="8"/>
      <c r="L345" s="22"/>
      <c r="M345" s="8"/>
      <c r="N345" s="13">
        <v>46290</v>
      </c>
      <c r="O345" s="9" t="s">
        <v>1108</v>
      </c>
      <c r="P345" s="7" t="s">
        <v>48</v>
      </c>
      <c r="Q345" s="7" t="s">
        <v>266</v>
      </c>
      <c r="R345" s="7"/>
      <c r="S345" s="7"/>
      <c r="T345" s="7"/>
      <c r="U345" s="7"/>
    </row>
    <row r="346" spans="1:21" ht="96" customHeight="1">
      <c r="A346" s="7" t="s">
        <v>182</v>
      </c>
      <c r="B346" s="30" t="s">
        <v>71</v>
      </c>
      <c r="C346" s="7" t="s">
        <v>23</v>
      </c>
      <c r="D346" s="7" t="s">
        <v>261</v>
      </c>
      <c r="E346" s="7"/>
      <c r="F346" s="7" t="s">
        <v>1201</v>
      </c>
      <c r="G346" s="7" t="s">
        <v>1202</v>
      </c>
      <c r="H346" s="7" t="s">
        <v>1203</v>
      </c>
      <c r="I346" s="7" t="s">
        <v>265</v>
      </c>
      <c r="J346" s="8">
        <v>3</v>
      </c>
      <c r="K346" s="8"/>
      <c r="L346" s="22"/>
      <c r="M346" s="8"/>
      <c r="N346" s="13">
        <v>46345</v>
      </c>
      <c r="O346" s="9"/>
      <c r="P346" s="7" t="s">
        <v>48</v>
      </c>
      <c r="Q346" s="7" t="s">
        <v>266</v>
      </c>
      <c r="R346" s="7"/>
      <c r="S346" s="7"/>
      <c r="T346" s="7"/>
      <c r="U346" s="7"/>
    </row>
    <row r="347" spans="1:21" ht="160" customHeight="1">
      <c r="A347" s="7" t="s">
        <v>182</v>
      </c>
      <c r="B347" s="30" t="s">
        <v>71</v>
      </c>
      <c r="C347" s="7" t="s">
        <v>23</v>
      </c>
      <c r="D347" s="7" t="s">
        <v>261</v>
      </c>
      <c r="E347" s="7"/>
      <c r="F347" s="7" t="s">
        <v>1204</v>
      </c>
      <c r="G347" s="7" t="s">
        <v>1205</v>
      </c>
      <c r="H347" s="7" t="s">
        <v>1206</v>
      </c>
      <c r="I347" s="7" t="s">
        <v>265</v>
      </c>
      <c r="J347" s="8">
        <v>8</v>
      </c>
      <c r="K347" s="8"/>
      <c r="L347" s="22"/>
      <c r="M347" s="8"/>
      <c r="N347" s="13">
        <v>46350</v>
      </c>
      <c r="O347" s="9" t="s">
        <v>1068</v>
      </c>
      <c r="P347" s="7" t="s">
        <v>48</v>
      </c>
      <c r="Q347" s="7" t="s">
        <v>266</v>
      </c>
      <c r="R347" s="7"/>
      <c r="S347" s="7"/>
      <c r="T347" s="7"/>
      <c r="U347" s="7"/>
    </row>
    <row r="348" spans="1:21" ht="48" customHeight="1">
      <c r="A348" s="7" t="s">
        <v>182</v>
      </c>
      <c r="B348" s="30" t="s">
        <v>445</v>
      </c>
      <c r="C348" s="7" t="s">
        <v>23</v>
      </c>
      <c r="D348" s="7" t="s">
        <v>1207</v>
      </c>
      <c r="E348" s="7"/>
      <c r="F348" s="7" t="s">
        <v>1208</v>
      </c>
      <c r="G348" s="7" t="s">
        <v>1209</v>
      </c>
      <c r="H348" s="7" t="s">
        <v>1210</v>
      </c>
      <c r="I348" s="7" t="s">
        <v>1159</v>
      </c>
      <c r="J348" s="8">
        <v>1</v>
      </c>
      <c r="K348" s="8"/>
      <c r="L348" s="22"/>
      <c r="M348" s="8" t="s">
        <v>1211</v>
      </c>
      <c r="N348" s="13">
        <v>45499</v>
      </c>
      <c r="O348" s="9"/>
      <c r="P348" s="9" t="s">
        <v>205</v>
      </c>
      <c r="Q348" s="7" t="s">
        <v>771</v>
      </c>
      <c r="R348" s="7"/>
      <c r="S348" s="7"/>
      <c r="T348" s="7"/>
      <c r="U348" s="7"/>
    </row>
    <row r="349" spans="1:21" ht="48" customHeight="1">
      <c r="A349" s="7" t="s">
        <v>182</v>
      </c>
      <c r="B349" s="30" t="s">
        <v>155</v>
      </c>
      <c r="C349" s="7" t="s">
        <v>23</v>
      </c>
      <c r="D349" s="7" t="s">
        <v>1207</v>
      </c>
      <c r="E349" s="7"/>
      <c r="F349" s="7" t="s">
        <v>1212</v>
      </c>
      <c r="G349" s="7" t="s">
        <v>1213</v>
      </c>
      <c r="H349" s="7" t="s">
        <v>1214</v>
      </c>
      <c r="I349" s="7" t="s">
        <v>1159</v>
      </c>
      <c r="J349" s="8">
        <v>1</v>
      </c>
      <c r="K349" s="8"/>
      <c r="L349" s="22"/>
      <c r="M349" s="8" t="s">
        <v>1215</v>
      </c>
      <c r="N349" s="13">
        <v>45392</v>
      </c>
      <c r="O349" s="9"/>
      <c r="P349" s="9" t="s">
        <v>205</v>
      </c>
      <c r="Q349" s="7" t="s">
        <v>771</v>
      </c>
      <c r="R349" s="7"/>
      <c r="S349" s="7"/>
      <c r="T349" s="7"/>
      <c r="U349" s="7"/>
    </row>
    <row r="350" spans="1:21" ht="64" customHeight="1">
      <c r="A350" s="7" t="s">
        <v>182</v>
      </c>
      <c r="B350" s="30" t="s">
        <v>155</v>
      </c>
      <c r="C350" s="7" t="s">
        <v>23</v>
      </c>
      <c r="D350" s="7" t="s">
        <v>1216</v>
      </c>
      <c r="E350" s="7"/>
      <c r="F350" s="7" t="s">
        <v>1217</v>
      </c>
      <c r="G350" s="7" t="s">
        <v>1218</v>
      </c>
      <c r="H350" s="7" t="s">
        <v>1219</v>
      </c>
      <c r="I350" s="7" t="s">
        <v>1159</v>
      </c>
      <c r="J350" s="8">
        <v>1</v>
      </c>
      <c r="K350" s="8"/>
      <c r="L350" s="22"/>
      <c r="M350" s="8" t="s">
        <v>1220</v>
      </c>
      <c r="N350" s="13">
        <v>45323</v>
      </c>
      <c r="O350" s="9"/>
      <c r="P350" s="9" t="s">
        <v>205</v>
      </c>
      <c r="Q350" s="7" t="s">
        <v>771</v>
      </c>
      <c r="R350" s="7"/>
      <c r="S350" s="7"/>
      <c r="T350" s="7"/>
      <c r="U350" s="7"/>
    </row>
    <row r="351" spans="1:21" ht="32" customHeight="1">
      <c r="A351" s="7" t="s">
        <v>207</v>
      </c>
      <c r="B351" s="30" t="s">
        <v>225</v>
      </c>
      <c r="C351" s="7" t="s">
        <v>23</v>
      </c>
      <c r="D351" s="7" t="s">
        <v>1221</v>
      </c>
      <c r="E351" s="7"/>
      <c r="F351" s="7" t="s">
        <v>1222</v>
      </c>
      <c r="G351" s="7" t="s">
        <v>1223</v>
      </c>
      <c r="H351" s="7" t="s">
        <v>1224</v>
      </c>
      <c r="I351" s="7" t="s">
        <v>1034</v>
      </c>
      <c r="J351" s="8">
        <v>2</v>
      </c>
      <c r="K351" s="8">
        <v>331</v>
      </c>
      <c r="L351" s="21">
        <f>WorkmanshipResultsTable[[#This Row],[Number of Failed Units]]/WorkmanshipResultsTable[[#This Row],[Total Units Built]]</f>
        <v>6.0422960725075529E-3</v>
      </c>
      <c r="M351" s="8"/>
      <c r="N351" s="8" t="s">
        <v>1225</v>
      </c>
      <c r="O351" s="9" t="s">
        <v>47</v>
      </c>
      <c r="P351" s="9" t="s">
        <v>48</v>
      </c>
      <c r="Q351" s="7" t="s">
        <v>1226</v>
      </c>
      <c r="R351" s="7"/>
      <c r="S351" s="7"/>
      <c r="T351" s="7"/>
      <c r="U351" s="7"/>
    </row>
    <row r="352" spans="1:21" ht="48" customHeight="1">
      <c r="A352" s="7" t="s">
        <v>207</v>
      </c>
      <c r="B352" s="30" t="s">
        <v>225</v>
      </c>
      <c r="C352" s="7" t="s">
        <v>23</v>
      </c>
      <c r="D352" s="7" t="s">
        <v>1221</v>
      </c>
      <c r="E352" s="7"/>
      <c r="F352" s="7" t="s">
        <v>1227</v>
      </c>
      <c r="G352" s="7" t="s">
        <v>1223</v>
      </c>
      <c r="H352" s="7" t="s">
        <v>1224</v>
      </c>
      <c r="I352" s="7" t="s">
        <v>1034</v>
      </c>
      <c r="J352" s="8">
        <v>3</v>
      </c>
      <c r="K352" s="8">
        <v>350</v>
      </c>
      <c r="L352" s="21">
        <f>WorkmanshipResultsTable[[#This Row],[Number of Failed Units]]/WorkmanshipResultsTable[[#This Row],[Total Units Built]]</f>
        <v>8.5714285714285719E-3</v>
      </c>
      <c r="M352" s="8"/>
      <c r="N352" s="8" t="s">
        <v>1228</v>
      </c>
      <c r="O352" s="9" t="s">
        <v>47</v>
      </c>
      <c r="P352" s="9" t="s">
        <v>48</v>
      </c>
      <c r="Q352" s="7" t="s">
        <v>1226</v>
      </c>
      <c r="R352" s="7"/>
      <c r="S352" s="7"/>
      <c r="T352" s="7"/>
      <c r="U352" s="7"/>
    </row>
    <row r="353" spans="1:21" ht="48" customHeight="1">
      <c r="A353" s="7" t="s">
        <v>207</v>
      </c>
      <c r="B353" s="30" t="s">
        <v>225</v>
      </c>
      <c r="C353" s="7" t="s">
        <v>23</v>
      </c>
      <c r="D353" s="7" t="s">
        <v>1229</v>
      </c>
      <c r="E353" s="7"/>
      <c r="F353" s="7" t="s">
        <v>1230</v>
      </c>
      <c r="G353" s="7" t="s">
        <v>1223</v>
      </c>
      <c r="H353" s="7" t="s">
        <v>1224</v>
      </c>
      <c r="I353" s="7" t="s">
        <v>1034</v>
      </c>
      <c r="J353" s="8">
        <v>3</v>
      </c>
      <c r="K353" s="8">
        <v>152</v>
      </c>
      <c r="L353" s="21">
        <f>WorkmanshipResultsTable[[#This Row],[Number of Failed Units]]/WorkmanshipResultsTable[[#This Row],[Total Units Built]]</f>
        <v>1.9736842105263157E-2</v>
      </c>
      <c r="M353" s="8"/>
      <c r="N353" s="8" t="s">
        <v>1231</v>
      </c>
      <c r="O353" s="9" t="s">
        <v>47</v>
      </c>
      <c r="P353" s="9" t="s">
        <v>48</v>
      </c>
      <c r="Q353" s="7" t="s">
        <v>1226</v>
      </c>
      <c r="R353" s="7"/>
      <c r="S353" s="7"/>
      <c r="T353" s="7"/>
      <c r="U353" s="7"/>
    </row>
    <row r="354" spans="1:21" ht="96" customHeight="1">
      <c r="A354" s="7" t="s">
        <v>207</v>
      </c>
      <c r="B354" s="30" t="s">
        <v>105</v>
      </c>
      <c r="C354" s="7" t="s">
        <v>23</v>
      </c>
      <c r="D354" s="7" t="s">
        <v>1232</v>
      </c>
      <c r="E354" s="7"/>
      <c r="F354" s="7" t="s">
        <v>1233</v>
      </c>
      <c r="G354" s="7" t="s">
        <v>1234</v>
      </c>
      <c r="H354" s="7" t="s">
        <v>1235</v>
      </c>
      <c r="I354" s="7" t="s">
        <v>1034</v>
      </c>
      <c r="J354" s="8">
        <v>1</v>
      </c>
      <c r="K354" s="8">
        <v>31</v>
      </c>
      <c r="L354" s="21">
        <f>WorkmanshipResultsTable[[#This Row],[Number of Failed Units]]/WorkmanshipResultsTable[[#This Row],[Total Units Built]]</f>
        <v>3.2258064516129031E-2</v>
      </c>
      <c r="M354" s="8"/>
      <c r="N354" s="8" t="s">
        <v>1231</v>
      </c>
      <c r="O354" s="9" t="s">
        <v>47</v>
      </c>
      <c r="P354" s="9" t="s">
        <v>48</v>
      </c>
      <c r="Q354" s="7" t="s">
        <v>1226</v>
      </c>
      <c r="R354" s="7"/>
      <c r="S354" s="7"/>
      <c r="T354" s="7"/>
      <c r="U354" s="7"/>
    </row>
    <row r="355" spans="1:21" ht="32" customHeight="1">
      <c r="A355" s="7" t="s">
        <v>207</v>
      </c>
      <c r="B355" s="30" t="s">
        <v>225</v>
      </c>
      <c r="C355" s="7" t="s">
        <v>23</v>
      </c>
      <c r="D355" s="7" t="s">
        <v>1229</v>
      </c>
      <c r="E355" s="7"/>
      <c r="F355" s="7" t="s">
        <v>1236</v>
      </c>
      <c r="G355" s="7" t="s">
        <v>1223</v>
      </c>
      <c r="H355" s="7" t="s">
        <v>1224</v>
      </c>
      <c r="I355" s="7" t="s">
        <v>1034</v>
      </c>
      <c r="J355" s="8">
        <v>2</v>
      </c>
      <c r="K355" s="8">
        <v>263</v>
      </c>
      <c r="L355" s="21">
        <f>WorkmanshipResultsTable[[#This Row],[Number of Failed Units]]/WorkmanshipResultsTable[[#This Row],[Total Units Built]]</f>
        <v>7.6045627376425855E-3</v>
      </c>
      <c r="M355" s="8"/>
      <c r="N355" s="8" t="s">
        <v>1237</v>
      </c>
      <c r="O355" s="9" t="s">
        <v>47</v>
      </c>
      <c r="P355" s="9" t="s">
        <v>48</v>
      </c>
      <c r="Q355" s="7" t="s">
        <v>1226</v>
      </c>
      <c r="R355" s="7"/>
      <c r="S355" s="7"/>
      <c r="T355" s="7"/>
      <c r="U355" s="7"/>
    </row>
    <row r="356" spans="1:21" ht="32" customHeight="1">
      <c r="A356" s="7" t="s">
        <v>207</v>
      </c>
      <c r="B356" s="30" t="s">
        <v>225</v>
      </c>
      <c r="C356" s="7" t="s">
        <v>23</v>
      </c>
      <c r="D356" s="7" t="s">
        <v>1238</v>
      </c>
      <c r="E356" s="7"/>
      <c r="F356" s="7" t="s">
        <v>1239</v>
      </c>
      <c r="G356" s="7" t="s">
        <v>1223</v>
      </c>
      <c r="H356" s="7" t="s">
        <v>1224</v>
      </c>
      <c r="I356" s="7" t="s">
        <v>1034</v>
      </c>
      <c r="J356" s="8">
        <v>2</v>
      </c>
      <c r="K356" s="8">
        <v>55</v>
      </c>
      <c r="L356" s="21">
        <f>WorkmanshipResultsTable[[#This Row],[Number of Failed Units]]/WorkmanshipResultsTable[[#This Row],[Total Units Built]]</f>
        <v>3.6363636363636362E-2</v>
      </c>
      <c r="M356" s="8"/>
      <c r="N356" s="8" t="s">
        <v>1237</v>
      </c>
      <c r="O356" s="9" t="s">
        <v>47</v>
      </c>
      <c r="P356" s="9" t="s">
        <v>48</v>
      </c>
      <c r="Q356" s="7" t="s">
        <v>1226</v>
      </c>
      <c r="R356" s="7"/>
      <c r="S356" s="7"/>
      <c r="T356" s="7"/>
      <c r="U356" s="7"/>
    </row>
    <row r="357" spans="1:21" ht="32" customHeight="1">
      <c r="A357" s="7" t="s">
        <v>207</v>
      </c>
      <c r="B357" s="30" t="s">
        <v>225</v>
      </c>
      <c r="C357" s="7" t="s">
        <v>23</v>
      </c>
      <c r="D357" s="7" t="s">
        <v>1221</v>
      </c>
      <c r="E357" s="7"/>
      <c r="F357" s="7" t="s">
        <v>1240</v>
      </c>
      <c r="G357" s="7" t="s">
        <v>1223</v>
      </c>
      <c r="H357" s="7" t="s">
        <v>1224</v>
      </c>
      <c r="I357" s="7" t="s">
        <v>1034</v>
      </c>
      <c r="J357" s="8">
        <v>1</v>
      </c>
      <c r="K357" s="8">
        <v>36</v>
      </c>
      <c r="L357" s="21">
        <f>WorkmanshipResultsTable[[#This Row],[Number of Failed Units]]/WorkmanshipResultsTable[[#This Row],[Total Units Built]]</f>
        <v>2.7777777777777776E-2</v>
      </c>
      <c r="M357" s="8"/>
      <c r="N357" s="8" t="s">
        <v>1241</v>
      </c>
      <c r="O357" s="9" t="s">
        <v>47</v>
      </c>
      <c r="P357" s="9" t="s">
        <v>48</v>
      </c>
      <c r="Q357" s="7" t="s">
        <v>1226</v>
      </c>
      <c r="R357" s="7"/>
      <c r="S357" s="7"/>
      <c r="T357" s="7"/>
      <c r="U357" s="7"/>
    </row>
    <row r="358" spans="1:21" ht="32" customHeight="1">
      <c r="A358" s="7" t="s">
        <v>207</v>
      </c>
      <c r="B358" s="30" t="s">
        <v>225</v>
      </c>
      <c r="C358" s="7" t="s">
        <v>23</v>
      </c>
      <c r="D358" s="7" t="s">
        <v>1242</v>
      </c>
      <c r="E358" s="7"/>
      <c r="F358" s="7" t="s">
        <v>1243</v>
      </c>
      <c r="G358" s="7" t="s">
        <v>1244</v>
      </c>
      <c r="H358" s="7" t="s">
        <v>1224</v>
      </c>
      <c r="I358" s="7" t="s">
        <v>1034</v>
      </c>
      <c r="J358" s="8">
        <v>2</v>
      </c>
      <c r="K358" s="8">
        <v>267</v>
      </c>
      <c r="L358" s="21">
        <f>WorkmanshipResultsTable[[#This Row],[Number of Failed Units]]/WorkmanshipResultsTable[[#This Row],[Total Units Built]]</f>
        <v>7.4906367041198503E-3</v>
      </c>
      <c r="M358" s="8"/>
      <c r="N358" s="8" t="s">
        <v>1245</v>
      </c>
      <c r="O358" s="9" t="s">
        <v>47</v>
      </c>
      <c r="P358" s="9" t="s">
        <v>48</v>
      </c>
      <c r="Q358" s="7" t="s">
        <v>1226</v>
      </c>
      <c r="R358" s="7"/>
      <c r="S358" s="7"/>
      <c r="T358" s="7"/>
      <c r="U358" s="7"/>
    </row>
    <row r="359" spans="1:21" ht="64" customHeight="1">
      <c r="A359" s="7" t="s">
        <v>207</v>
      </c>
      <c r="B359" s="30" t="s">
        <v>225</v>
      </c>
      <c r="C359" s="7" t="s">
        <v>23</v>
      </c>
      <c r="D359" s="7" t="s">
        <v>1221</v>
      </c>
      <c r="E359" s="7"/>
      <c r="F359" s="7" t="s">
        <v>1246</v>
      </c>
      <c r="G359" s="7" t="s">
        <v>1247</v>
      </c>
      <c r="H359" s="7" t="s">
        <v>1248</v>
      </c>
      <c r="I359" s="7" t="s">
        <v>1034</v>
      </c>
      <c r="J359" s="8">
        <v>1</v>
      </c>
      <c r="K359" s="8">
        <v>137</v>
      </c>
      <c r="L359" s="21">
        <f>WorkmanshipResultsTable[[#This Row],[Number of Failed Units]]/WorkmanshipResultsTable[[#This Row],[Total Units Built]]</f>
        <v>7.2992700729927005E-3</v>
      </c>
      <c r="M359" s="8"/>
      <c r="N359" s="8" t="s">
        <v>1249</v>
      </c>
      <c r="O359" s="9" t="s">
        <v>47</v>
      </c>
      <c r="P359" s="9" t="s">
        <v>48</v>
      </c>
      <c r="Q359" s="7" t="s">
        <v>1226</v>
      </c>
      <c r="R359" s="7"/>
      <c r="S359" s="7"/>
      <c r="T359" s="7"/>
      <c r="U359" s="7"/>
    </row>
    <row r="360" spans="1:21" ht="32" customHeight="1">
      <c r="A360" s="7" t="s">
        <v>207</v>
      </c>
      <c r="B360" s="30" t="s">
        <v>225</v>
      </c>
      <c r="C360" s="7" t="s">
        <v>23</v>
      </c>
      <c r="D360" s="7" t="s">
        <v>1250</v>
      </c>
      <c r="E360" s="7"/>
      <c r="F360" s="7" t="s">
        <v>1251</v>
      </c>
      <c r="G360" s="7" t="s">
        <v>1223</v>
      </c>
      <c r="H360" s="7" t="s">
        <v>1224</v>
      </c>
      <c r="I360" s="7" t="s">
        <v>1034</v>
      </c>
      <c r="J360" s="8">
        <v>1</v>
      </c>
      <c r="K360" s="8">
        <v>41</v>
      </c>
      <c r="L360" s="21">
        <f>WorkmanshipResultsTable[[#This Row],[Number of Failed Units]]/WorkmanshipResultsTable[[#This Row],[Total Units Built]]</f>
        <v>2.4390243902439025E-2</v>
      </c>
      <c r="M360" s="8"/>
      <c r="N360" s="13">
        <v>45895</v>
      </c>
      <c r="O360" s="9" t="s">
        <v>47</v>
      </c>
      <c r="P360" s="9" t="s">
        <v>48</v>
      </c>
      <c r="Q360" s="7" t="s">
        <v>1226</v>
      </c>
      <c r="R360" s="7"/>
      <c r="S360" s="7"/>
      <c r="T360" s="7"/>
      <c r="U360" s="7"/>
    </row>
    <row r="361" spans="1:21" ht="32" customHeight="1">
      <c r="A361" s="7" t="s">
        <v>207</v>
      </c>
      <c r="B361" s="30" t="s">
        <v>225</v>
      </c>
      <c r="C361" s="7" t="s">
        <v>23</v>
      </c>
      <c r="D361" s="7" t="s">
        <v>1221</v>
      </c>
      <c r="E361" s="7"/>
      <c r="F361" s="7" t="s">
        <v>1252</v>
      </c>
      <c r="G361" s="7" t="s">
        <v>1244</v>
      </c>
      <c r="H361" s="7" t="s">
        <v>1224</v>
      </c>
      <c r="I361" s="7" t="s">
        <v>1034</v>
      </c>
      <c r="J361" s="8">
        <v>1</v>
      </c>
      <c r="K361" s="8">
        <v>72</v>
      </c>
      <c r="L361" s="21">
        <f>WorkmanshipResultsTable[[#This Row],[Number of Failed Units]]/WorkmanshipResultsTable[[#This Row],[Total Units Built]]</f>
        <v>1.3888888888888888E-2</v>
      </c>
      <c r="M361" s="8"/>
      <c r="N361" s="8" t="s">
        <v>1253</v>
      </c>
      <c r="O361" s="9" t="s">
        <v>47</v>
      </c>
      <c r="P361" s="9" t="s">
        <v>48</v>
      </c>
      <c r="Q361" s="7" t="s">
        <v>1226</v>
      </c>
      <c r="R361" s="7"/>
      <c r="S361" s="7"/>
      <c r="T361" s="7"/>
      <c r="U361" s="7"/>
    </row>
    <row r="362" spans="1:21" ht="80" customHeight="1">
      <c r="A362" s="7" t="s">
        <v>207</v>
      </c>
      <c r="B362" s="30" t="s">
        <v>225</v>
      </c>
      <c r="C362" s="7" t="s">
        <v>23</v>
      </c>
      <c r="D362" s="7" t="s">
        <v>1254</v>
      </c>
      <c r="E362" s="7"/>
      <c r="F362" s="7" t="s">
        <v>1255</v>
      </c>
      <c r="G362" s="7" t="s">
        <v>1256</v>
      </c>
      <c r="H362" s="7" t="s">
        <v>1257</v>
      </c>
      <c r="I362" s="7" t="s">
        <v>1034</v>
      </c>
      <c r="J362" s="8">
        <v>1</v>
      </c>
      <c r="K362" s="8">
        <v>39</v>
      </c>
      <c r="L362" s="21">
        <f>WorkmanshipResultsTable[[#This Row],[Number of Failed Units]]/WorkmanshipResultsTable[[#This Row],[Total Units Built]]</f>
        <v>2.564102564102564E-2</v>
      </c>
      <c r="M362" s="8"/>
      <c r="N362" s="8" t="s">
        <v>1258</v>
      </c>
      <c r="O362" s="9" t="s">
        <v>47</v>
      </c>
      <c r="P362" s="9" t="s">
        <v>48</v>
      </c>
      <c r="Q362" s="7" t="s">
        <v>1226</v>
      </c>
      <c r="R362" s="7"/>
      <c r="S362" s="7"/>
      <c r="T362" s="7"/>
      <c r="U362" s="7"/>
    </row>
    <row r="363" spans="1:21" ht="32" customHeight="1">
      <c r="A363" s="7" t="s">
        <v>207</v>
      </c>
      <c r="B363" s="30" t="s">
        <v>225</v>
      </c>
      <c r="C363" s="7" t="s">
        <v>23</v>
      </c>
      <c r="D363" s="7" t="s">
        <v>1254</v>
      </c>
      <c r="E363" s="7"/>
      <c r="F363" s="7" t="s">
        <v>1259</v>
      </c>
      <c r="G363" s="7" t="s">
        <v>1223</v>
      </c>
      <c r="H363" s="7" t="s">
        <v>1224</v>
      </c>
      <c r="I363" s="7" t="s">
        <v>1034</v>
      </c>
      <c r="J363" s="8">
        <v>1</v>
      </c>
      <c r="K363" s="8">
        <v>39</v>
      </c>
      <c r="L363" s="21">
        <f>WorkmanshipResultsTable[[#This Row],[Number of Failed Units]]/WorkmanshipResultsTable[[#This Row],[Total Units Built]]</f>
        <v>2.564102564102564E-2</v>
      </c>
      <c r="M363" s="8"/>
      <c r="N363" s="8" t="s">
        <v>1258</v>
      </c>
      <c r="O363" s="9" t="s">
        <v>47</v>
      </c>
      <c r="P363" s="9" t="s">
        <v>48</v>
      </c>
      <c r="Q363" s="7" t="s">
        <v>1226</v>
      </c>
      <c r="R363" s="7"/>
      <c r="S363" s="7"/>
      <c r="T363" s="7"/>
      <c r="U363" s="7"/>
    </row>
    <row r="364" spans="1:21" ht="32" customHeight="1">
      <c r="A364" s="7" t="s">
        <v>1260</v>
      </c>
      <c r="B364" s="30" t="s">
        <v>225</v>
      </c>
      <c r="C364" s="7" t="s">
        <v>23</v>
      </c>
      <c r="D364" s="7" t="s">
        <v>1229</v>
      </c>
      <c r="E364" s="7"/>
      <c r="F364" s="7" t="s">
        <v>1261</v>
      </c>
      <c r="G364" s="7" t="s">
        <v>1223</v>
      </c>
      <c r="H364" s="7" t="s">
        <v>1224</v>
      </c>
      <c r="I364" s="7" t="s">
        <v>1034</v>
      </c>
      <c r="J364" s="8">
        <v>1</v>
      </c>
      <c r="K364" s="8">
        <v>107</v>
      </c>
      <c r="L364" s="21">
        <f>WorkmanshipResultsTable[[#This Row],[Number of Failed Units]]/WorkmanshipResultsTable[[#This Row],[Total Units Built]]</f>
        <v>9.3457943925233638E-3</v>
      </c>
      <c r="M364" s="8"/>
      <c r="N364" s="8" t="s">
        <v>1262</v>
      </c>
      <c r="O364" s="9" t="s">
        <v>47</v>
      </c>
      <c r="P364" s="9" t="s">
        <v>48</v>
      </c>
      <c r="Q364" s="7" t="s">
        <v>1226</v>
      </c>
      <c r="R364" s="7"/>
      <c r="S364" s="7"/>
      <c r="T364" s="7"/>
      <c r="U364" s="7"/>
    </row>
    <row r="365" spans="1:21" ht="32" customHeight="1">
      <c r="A365" s="7" t="s">
        <v>207</v>
      </c>
      <c r="B365" s="30" t="s">
        <v>225</v>
      </c>
      <c r="C365" s="7" t="s">
        <v>23</v>
      </c>
      <c r="D365" s="7" t="s">
        <v>1263</v>
      </c>
      <c r="E365" s="7"/>
      <c r="F365" s="7" t="s">
        <v>1264</v>
      </c>
      <c r="G365" s="7" t="s">
        <v>1223</v>
      </c>
      <c r="H365" s="7" t="s">
        <v>1224</v>
      </c>
      <c r="I365" s="7" t="s">
        <v>1034</v>
      </c>
      <c r="J365" s="8">
        <v>1</v>
      </c>
      <c r="K365" s="8">
        <v>82</v>
      </c>
      <c r="L365" s="21">
        <f>WorkmanshipResultsTable[[#This Row],[Number of Failed Units]]/WorkmanshipResultsTable[[#This Row],[Total Units Built]]</f>
        <v>1.2195121951219513E-2</v>
      </c>
      <c r="M365" s="8"/>
      <c r="N365" s="8" t="s">
        <v>1262</v>
      </c>
      <c r="O365" s="9" t="s">
        <v>47</v>
      </c>
      <c r="P365" s="9" t="s">
        <v>48</v>
      </c>
      <c r="Q365" s="7" t="s">
        <v>1226</v>
      </c>
      <c r="R365" s="7"/>
      <c r="S365" s="7"/>
      <c r="T365" s="7"/>
      <c r="U365" s="7"/>
    </row>
    <row r="366" spans="1:21" ht="48" customHeight="1">
      <c r="A366" s="7" t="s">
        <v>207</v>
      </c>
      <c r="B366" s="30" t="s">
        <v>225</v>
      </c>
      <c r="C366" s="7" t="s">
        <v>23</v>
      </c>
      <c r="D366" s="7" t="s">
        <v>696</v>
      </c>
      <c r="E366" s="7"/>
      <c r="F366" s="7" t="s">
        <v>1265</v>
      </c>
      <c r="G366" s="7" t="s">
        <v>1266</v>
      </c>
      <c r="H366" s="7" t="s">
        <v>1267</v>
      </c>
      <c r="I366" s="7" t="s">
        <v>1034</v>
      </c>
      <c r="J366" s="8">
        <v>1</v>
      </c>
      <c r="K366" s="8">
        <v>480</v>
      </c>
      <c r="L366" s="21">
        <f>WorkmanshipResultsTable[[#This Row],[Number of Failed Units]]/WorkmanshipResultsTable[[#This Row],[Total Units Built]]</f>
        <v>2.0833333333333333E-3</v>
      </c>
      <c r="M366" s="8"/>
      <c r="N366" s="8" t="s">
        <v>1268</v>
      </c>
      <c r="O366" s="9" t="s">
        <v>47</v>
      </c>
      <c r="P366" s="9" t="s">
        <v>48</v>
      </c>
      <c r="Q366" s="7" t="s">
        <v>1226</v>
      </c>
      <c r="R366" s="7"/>
      <c r="S366" s="7"/>
      <c r="T366" s="7"/>
      <c r="U366" s="7"/>
    </row>
    <row r="367" spans="1:21" ht="32" customHeight="1">
      <c r="A367" s="7" t="s">
        <v>207</v>
      </c>
      <c r="B367" s="30" t="s">
        <v>225</v>
      </c>
      <c r="C367" s="7" t="s">
        <v>23</v>
      </c>
      <c r="D367" s="7" t="s">
        <v>1221</v>
      </c>
      <c r="E367" s="7"/>
      <c r="F367" s="7" t="s">
        <v>1269</v>
      </c>
      <c r="G367" s="7" t="s">
        <v>1223</v>
      </c>
      <c r="H367" s="7" t="s">
        <v>1224</v>
      </c>
      <c r="I367" s="7" t="s">
        <v>1034</v>
      </c>
      <c r="J367" s="8">
        <v>4</v>
      </c>
      <c r="K367" s="8">
        <v>164</v>
      </c>
      <c r="L367" s="21">
        <f>WorkmanshipResultsTable[[#This Row],[Number of Failed Units]]/WorkmanshipResultsTable[[#This Row],[Total Units Built]]</f>
        <v>2.4390243902439025E-2</v>
      </c>
      <c r="M367" s="8"/>
      <c r="N367" s="8" t="s">
        <v>1270</v>
      </c>
      <c r="O367" s="9" t="s">
        <v>47</v>
      </c>
      <c r="P367" s="9" t="s">
        <v>48</v>
      </c>
      <c r="Q367" s="7" t="s">
        <v>1226</v>
      </c>
      <c r="R367" s="7"/>
      <c r="S367" s="7"/>
      <c r="T367" s="7"/>
      <c r="U367" s="7"/>
    </row>
  </sheetData>
  <dataValidations count="1">
    <dataValidation type="list" allowBlank="1" showInputMessage="1" showErrorMessage="1" errorTitle="Invalid defect code" error="Select a defect code from the list." promptTitle="Defect code" prompt="Choose from the Defect Codes list." sqref="B2:B2000" xr:uid="{00000000-0002-0000-0000-000000000000}">
      <formula1>DefectCodeOptions</formula1>
    </dataValidation>
  </dataValidations>
  <pageMargins left="0.7" right="0.7" top="0.75" bottom="0.75" header="0.3" footer="0.3"/>
  <pageSetup orientation="portrait" horizontalDpi="0" verticalDpi="0"/>
  <headerFooter>
    <oddFooter>&amp;R&amp;"Aptos"&amp;8 &amp;K000000_x000D_# Cisco Confidential_x000D_&amp;1#&amp;"Aptos"&amp;8&amp;K000000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baseColWidth="10" defaultColWidth="8.83203125" defaultRowHeight="14"/>
  <cols>
    <col min="1" max="1" width="36" customWidth="1"/>
  </cols>
  <sheetData>
    <row r="1" spans="1:1" ht="15" customHeight="1">
      <c r="A1" s="33" t="s">
        <v>1271</v>
      </c>
    </row>
    <row r="2" spans="1:1">
      <c r="A2" t="s">
        <v>105</v>
      </c>
    </row>
    <row r="3" spans="1:1">
      <c r="A3" t="s">
        <v>428</v>
      </c>
    </row>
    <row r="4" spans="1:1">
      <c r="A4" t="s">
        <v>155</v>
      </c>
    </row>
    <row r="5" spans="1:1">
      <c r="A5" t="s">
        <v>1272</v>
      </c>
    </row>
    <row r="6" spans="1:1">
      <c r="A6" t="s">
        <v>208</v>
      </c>
    </row>
    <row r="7" spans="1:1">
      <c r="A7" t="s">
        <v>98</v>
      </c>
    </row>
    <row r="8" spans="1:1">
      <c r="A8" t="s">
        <v>445</v>
      </c>
    </row>
    <row r="9" spans="1:1">
      <c r="A9" t="s">
        <v>326</v>
      </c>
    </row>
    <row r="10" spans="1:1">
      <c r="A10" t="s">
        <v>225</v>
      </c>
    </row>
    <row r="11" spans="1:1">
      <c r="A11" t="s">
        <v>237</v>
      </c>
    </row>
    <row r="12" spans="1:1">
      <c r="A12" t="s">
        <v>39</v>
      </c>
    </row>
    <row r="13" spans="1:1">
      <c r="A13" t="s">
        <v>71</v>
      </c>
    </row>
    <row r="14" spans="1:1">
      <c r="A14" t="s">
        <v>22</v>
      </c>
    </row>
    <row r="15" spans="1:1">
      <c r="A15" t="s">
        <v>82</v>
      </c>
    </row>
  </sheetData>
  <pageMargins left="0.75" right="0.75" top="1" bottom="1" header="0.5" footer="0.5"/>
  <headerFooter>
    <oddFooter>&amp;R&amp;"Aptos"&amp;8 &amp;K000000_x000D_# Cisco Confidential_x000D_&amp;1#&amp;"Aptos"&amp;8&amp;K000000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Workmanship Results</vt:lpstr>
      <vt:lpstr>Defect Code List</vt:lpstr>
      <vt:lpstr>DefectCodeOptions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Yagjian (ayagjian)</cp:lastModifiedBy>
  <dcterms:created xsi:type="dcterms:W3CDTF">2026-08-05T18:29:42Z</dcterms:created>
  <dcterms:modified xsi:type="dcterms:W3CDTF">2026-10-07T23:31:16Z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0x01010016147D28084EEC4E85B562EBF79EE9C8</vt:lpwstr>
  </property>
  <property fmtid="{D5CDD505-2E9C-101B-9397-08002B2CF9AE}" pid="3" name="MediaServiceImageTags">
    <vt:lpwstr/>
  </property>
</Properties>
</file>